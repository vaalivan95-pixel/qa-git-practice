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dcbe237c4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ъекты и серые зоны" sheetId="1" r:id="R66d4e5dcb7954a3a"/>
    <x:sheet xmlns:r="http://schemas.openxmlformats.org/officeDocument/2006/relationships" name="Чек-лист смоук" sheetId="2" r:id="Rc55d53a996d54849"/>
    <x:sheet xmlns:r="http://schemas.openxmlformats.org/officeDocument/2006/relationships" name="Чек-лист" sheetId="3" r:id="Rd3e3bb8dff6b41ff"/>
    <x:sheet xmlns:r="http://schemas.openxmlformats.org/officeDocument/2006/relationships" name="Баг-репорты" sheetId="4" r:id="R0f4a7e3469a34163"/>
    <x:sheet xmlns:r="http://schemas.openxmlformats.org/officeDocument/2006/relationships" name="КЭ и ГЗ" sheetId="5" r:id="R47e56eed0a3b4949"/>
    <x:sheet xmlns:r="http://schemas.openxmlformats.org/officeDocument/2006/relationships" name="Мобильное тестирование" sheetId="6" r:id="R583b6898ff0e4a3c"/>
    <x:sheet xmlns:r="http://schemas.openxmlformats.org/officeDocument/2006/relationships" name="Итоговая сводка и готовность" sheetId="7" r:id="Rf1e74565d5414cb2"/>
  </x:sheets>
</x:workbook>
</file>

<file path=xl/sharedStrings.xml><?xml version="1.0" encoding="utf-8"?>
<x:sst xmlns:x="http://schemas.openxmlformats.org/spreadsheetml/2006/main">
  <x:si>
    <x:t xml:space="preserve">Объекты тестирования и серые зоны</x:t>
  </x:si>
  <x:si>
    <x:t xml:space="preserve">Форма регистрации приложения «Прилавок»</x:t>
  </x:si>
  <x:si>
    <x:t xml:space="preserve">Объекты тестирования</x:t>
  </x:si>
  <x:si>
    <x:t xml:space="preserve">Вопросы и допущения</x:t>
  </x:si>
  <x:si>
    <x:t xml:space="preserve">Название</x:t>
  </x:si>
  <x:si>
    <x:t xml:space="preserve">Тип объекта</x:t>
  </x:si>
  <x:si>
    <x:t xml:space="preserve">Объект/раздел требований</x:t>
  </x:si>
  <x:si>
    <x:t xml:space="preserve">Неясность</x:t>
  </x:si>
  <x:si>
    <x:t xml:space="preserve">Вопрос</x:t>
  </x:si>
  <x:si>
    <x:t xml:space="preserve">Допущение</x:t>
  </x:si>
  <x:si>
    <x:t xml:space="preserve">Имя</x:t>
  </x:si>
  <x:si>
    <x:t xml:space="preserve">Поле ввода</x:t>
  </x:si>
  <x:si>
    <x:t xml:space="preserve">R01. Имя. PDF, с. 1</x:t>
  </x:si>
  <x:si>
    <x:t xml:space="preserve">Разрешены пробел и дефис, но не сказано, может ли имя состоять только из них.
Не заданы текст и расположение сообщения об ошибке для поля «Имя».</x:t>
  </x:si>
  <x:si>
    <x:t xml:space="preserve">Нужна ли хотя бы одна буква? Допустимы ли «--», два пробела и смешение алфавитов?
Какое сообщение показывать для пустого имени, нарушения длины или состава символов и где его размещать?</x:t>
  </x:si>
  <x:si>
    <x:t xml:space="preserve">Рабочее допущение: нужна хотя бы одна русская или английская буква. Смешение разрешённых букв допускается. КЭ ссылается на R01; требуется согласование.
Текст и расположение ошибки не назначаем до уточнения.</x:t>
  </x:si>
  <x:si>
    <x:t xml:space="preserve">Номер телефона</x:t>
  </x:si>
  <x:si>
    <x:t xml:space="preserve">R02. Телефон. PDF, с. 1</x:t>
  </x:si>
  <x:si>
    <x:t xml:space="preserve">Не заданы количество и положение «+». Не уточнено, входят ли они в длину 10–12.
Неясно, обязателен ли знак «+»: в примере API номер с «+», в описании БД — без него. Текст и расположение ошибки телефона не заданы.</x:t>
  </x:si>
  <x:si>
    <x:t xml:space="preserve">Допустим ли один «+» только в начале? Считается ли он отдельным символом?
Номер нужно вводить с «+» или без него? Какие текст и расположение сообщения предусмотрены для пустого телефона и нарушения ограничений?</x:t>
  </x:si>
  <x:si>
    <x:t xml:space="preserve">Рабочее допущение: необязательный единственный «+» в начале; остальные символы — цифры 0–9. «+» входит в общую длину 10–12. Проверки условны до согласования.
Текст и место сообщения об ошибке требуют уточнения.</x:t>
  </x:si>
  <x:si>
    <x:t xml:space="preserve">Email</x:t>
  </x:si>
  <x:si>
    <x:t xml:space="preserve">R03. Email. PDF, с. 1</x:t>
  </x:si>
  <x:si>
    <x:t xml:space="preserve">Заданы алфавит и длина, но не структура адреса.
В замечании указано расхождение регистра названия поля в требованиях и макете. В PDF написано «Email»; эталонное написание по макету нужно уточнить. Обязательность требует подтверждения в контексте замечания, хотя в таблице PDF указано «Да».</x:t>
  </x:si>
  <x:si>
    <x:t xml:space="preserve">Должен ли быть ровно один @ и непустые части по обе стороны? Каковы правила точек и домена?
Обязательно ли поле E-mail для заполнения во всех сценариях регистрации? Какой регистр названия поля принять за эталон при расхождении требований и макета?</x:t>
  </x:si>
  <x:si>
    <x:t xml:space="preserve">Для КЭ принимается только минимум: один @, непустые части до и после. Точка в домене не объявляется обязательной. Остальные правила точек и домена — без допущения, до ответа.
До уточнения считаем поле обязательным по PDF, с. 1. Написание в макете не подменяем предположением.</x:t>
  </x:si>
  <x:si>
    <x:t xml:space="preserve">Пароль</x:t>
  </x:si>
  <x:si>
    <x:t xml:space="preserve">R04. Уникальность email. PDF, с. 1</x:t>
  </x:si>
  <x:si>
    <x:t xml:space="preserve">Не описана нормализация при сравнении: регистр и пробелы по краям.
Не указано, где появляется сообщение «Пользователь с таким e-mail уже существует».</x:t>
  </x:si>
  <x:si>
    <x:t xml:space="preserve">Считаются ли User@example.ru и user@example.ru одним email? Удаляются ли пробелы до проверки?
Где показывать сообщение о неуникальном email: под полем E-mail, под всеми полями или в отдельном блоке формы?</x:t>
  </x:si>
  <x:si>
    <x:t xml:space="preserve">Допущение не требуется: проверяем точный дубликат и явно новый адрес. Классификация различий регистра и нормализации отложена до ответа.
Расположение сообщения о дубликате требует уточнения.</x:t>
  </x:si>
  <x:si>
    <x:t xml:space="preserve">Повторите пароль</x:t>
  </x:si>
  <x:si>
    <x:t xml:space="preserve">R05. Пароль. PDF, с. 2</x:t>
  </x:si>
  <x:si>
    <x:t xml:space="preserve">«Знаки пунктуации и спецсимволы» не перечислены. Пробелы, emoji и Unicode не оговорены.</x:t>
  </x:si>
  <x:si>
    <x:t xml:space="preserve">Какой точный набор разрешён? Допустимы ли пробел, табуляция, перевод строки и emoji?</x:t>
  </x:si>
  <x:si>
    <x:t xml:space="preserve">Рабочее допущение для КЭ: буквы A–Z/a–z, цифры 0–9 и печатные ASCII-символы пунктуации. Пробелы, управляющие символы и emoji не допускаются. Нужна буква и цифра, как в PDF.</x:t>
  </x:si>
  <x:si>
    <x:t xml:space="preserve">Улица, номер дома, номер квартиры</x:t>
  </x:si>
  <x:si>
    <x:t xml:space="preserve">R06. Повторите пароль. PDF, с. 1–2</x:t>
  </x:si>
  <x:si>
    <x:t xml:space="preserve">Не задан приоритет ошибок, когда повтор одновременно невалиден и не совпадает.
Не указано расположение сообщения «Пароли не совпадают».</x:t>
  </x:si>
  <x:si>
    <x:t xml:space="preserve">Сначала проверяется обязательность, формат или совпадение? Может ли быть несколько ошибок?
Где должно появляться сообщение «Пароли не совпадают»: под повтором пароля, под обоими полями пароля или под всей формой?</x:t>
  </x:si>
  <x:si>
    <x:t xml:space="preserve">Несовпадение проверяем на двух паролях, удовлетворяющих ограничениям поля «Пароль». Расположение сообщения и приоритет ошибок требуют уточнения. Отдельные КЭ для «Повторите пароль» не выделяем.</x:t>
  </x:si>
  <x:si>
    <x:t xml:space="preserve">Подъезд</x:t>
  </x:si>
  <x:si>
    <x:t xml:space="preserve">R07. Подъезд, Этаж, Домофон. PDF, с. 1</x:t>
  </x:si>
  <x:si>
    <x:t xml:space="preserve">Поля перечислены, но обязательность, длина и допустимые символы не заданы.</x:t>
  </x:si>
  <x:si>
    <x:t xml:space="preserve">Какие поля обязательны? Каковы пределы и формат, допустимы ли 0, отрицательный этаж, буквы и коды?</x:t>
  </x:si>
  <x:si>
    <x:t xml:space="preserve">Подъезд, этаж и домофон рассматриваем как части адреса. Отдельные КЭ и ГЗ для них не выделяем. Вопросы об обязательности и составе адреса требуют ответа.</x:t>
  </x:si>
  <x:si>
    <x:t xml:space="preserve">Этаж</x:t>
  </x:si>
  <x:si>
    <x:t xml:space="preserve">R08. Адрес доставки. PDF, с. 1–2</x:t>
  </x:si>
  <x:si>
    <x:t xml:space="preserve">В форме несколько полей адреса, а таблица ограничений описывает один «Адрес доставки».
Не заданы текст и расположение сообщения об ошибке для поля «Адрес».</x:t>
  </x:si>
  <x:si>
    <x:t xml:space="preserve">Правило 5–50 относится к улице/дому/квартире или ко всему адресу вместе с подъездом, этажом и домофоном?
Какое сообщение показывать для пустого адреса и нарушения ограничений длины или символов? Где его размещать?</x:t>
  </x:si>
  <x:si>
    <x:t xml:space="preserve">Рабочее допущение: 5–50 и алфавит относятся к «Улица, номер дома, номер квартиры», как в разделе «Поле Адрес» чек-листа. На остальные поля эти ограничения не переносим.
Текст и расположение сообщения об ошибке не назначаем до уточнения.</x:t>
  </x:si>
  <x:si>
    <x:t xml:space="preserve">Домофон</x:t>
  </x:si>
  <x:si>
    <x:t xml:space="preserve">R09. Пробелы адреса. PDF, с. 2; чек-лист №31–32</x:t>
  </x:si>
  <x:si>
    <x:t xml:space="preserve">Удаление краевых пробелов задано, но порядок проверки длины и вид пробельного символа не уточнены.</x:t>
  </x:si>
  <x:si>
    <x:t xml:space="preserve">Длина проверяется после удаления обычных пробелов U+0020? Что делать с табуляцией и неразрывным пробелом?</x:t>
  </x:si>
  <x:si>
    <x:t xml:space="preserve">Рабочее допущение: при потере фокуса сначала удаляются краевые U+0020, затем проверяется длина. Другие пробельные символы не считаем обычным пробелом без уточнения.</x:t>
  </x:si>
  <x:si>
    <x:t xml:space="preserve">Комментарий к заказу</x:t>
  </x:si>
  <x:si>
    <x:t xml:space="preserve">R10. Пробелы имени и комментария. PDF, с. 1–2</x:t>
  </x:si>
  <x:si>
    <x:t xml:space="preserve">Пробел разрешён, но удаление по краям задано только для адреса.</x:t>
  </x:si>
  <x:si>
    <x:t xml:space="preserve">Сохраняются ли пробелы имени и комментария? Как они учитываются в длине?</x:t>
  </x:si>
  <x:si>
    <x:t xml:space="preserve">Рабочее допущение: вне адреса краевые U+0020 сохраняются и входят в длину. Комментарий из пробелов допустим по алфавиту; имя дополнительно проверяется по R01.</x:t>
  </x:si>
  <x:si>
    <x:t xml:space="preserve">Кнопка «Зарегистрироваться» в шапке</x:t>
  </x:si>
  <x:si>
    <x:t xml:space="preserve">Кнопка перехода</x:t>
  </x:si>
  <x:si>
    <x:t xml:space="preserve">R11. Тире и дефис. PDF, с. 1–2</x:t>
  </x:si>
  <x:si>
    <x:t xml:space="preserve">Для имени указан дефис, для email, адреса и комментария — тире без кода символа.</x:t>
  </x:si>
  <x:si>
    <x:t xml:space="preserve">Имеется в виду «-» U+002D? Разрешены ли «–» и «—»?</x:t>
  </x:si>
  <x:si>
    <x:t xml:space="preserve">Рабочее допущение для КЭ: используется «-» U+002D. «–» и «—» считаются недопустимыми только в рамках этого допущения; решение требует согласования.</x:t>
  </x:si>
  <x:si>
    <x:t xml:space="preserve">Кнопка «Зарегистрироваться» в форме</x:t>
  </x:si>
  <x:si>
    <x:t xml:space="preserve">Кнопка отправки</x:t>
  </x:si>
  <x:si>
    <x:t xml:space="preserve">R12. Ошибки формата. PDF, с. 1–2</x:t>
  </x:si>
  <x:si>
    <x:t xml:space="preserve">Нет текстов ошибок длины/алфавита, момента проверки и поведения ввода сверх максимума.</x:t>
  </x:si>
  <x:si>
    <x:t xml:space="preserve">Ошибка появляется при вводе, потере фокуса или отправке? Ввод блокируется, обрезается или отклоняется?</x:t>
  </x:si>
  <x:si>
    <x:t xml:space="preserve">Для КЭ проверяем допустимость итогового значения. Невалидное значение не должно приводить к созданию аккаунта. Текст, момент ошибки и способ ограничения ввода не назначаем.</x:t>
  </x:si>
  <x:si>
    <x:t xml:space="preserve">Футер формы</x:t>
  </x:si>
  <x:si>
    <x:t xml:space="preserve">Блок интерфейса</x:t>
  </x:si>
  <x:si>
    <x:t xml:space="preserve">R13. Кнопка регистрации. PDF, с. 1; чек-лист №3,13,16,19,23,26,30</x:t>
  </x:si>
  <x:si>
    <x:t xml:space="preserve">По умолчанию кнопка активна, но при незаполненном обязательном поле чек-лист требует недоступность. Переход состояния не описан.</x:t>
  </x:si>
  <x:si>
    <x:t xml:space="preserve">В какой момент кнопка блокируется и когда вновь становится доступной?</x:t>
  </x:si>
  <x:si>
    <x:t xml:space="preserve">Без допущения о моменте блокировки. Проверяем исходную активность и запрет создания аккаунта при пустых обязательных полях. Последовательность состояний требует ответа.</x:t>
  </x:si>
  <x:si>
    <x:t xml:space="preserve">У вас уже есть аккаунт</x:t>
  </x:si>
  <x:si>
    <x:t xml:space="preserve">Ссылка</x:t>
  </x:si>
  <x:si>
    <x:t xml:space="preserve">R14. Отправка регистрации. PDF, с. 1</x:t>
  </x:si>
  <x:si>
    <x:t xml:space="preserve">Не описаны повторный клик, ожидание ответа, потеря сети и повторная отправка.</x:t>
  </x:si>
  <x:si>
    <x:t xml:space="preserve">Как исключается двойное создание? Что видит пользователь при тайм-ауте и сохраняются ли данные формы?</x:t>
  </x:si>
  <x:si>
    <x:t xml:space="preserve">Допущение не требуется для КЭ. Ожидаемые состояния кнопки и ошибки сети не заданы; не выдаём их за утверждённые требования.</x:t>
  </x:si>
  <x:si>
    <x:t xml:space="preserve">Кнопка «Войти» в футере</x:t>
  </x:si>
  <x:si>
    <x:t xml:space="preserve">R15. Попап и переход. PDF, с. 1; чек-лист №9</x:t>
  </x:si>
  <x:si>
    <x:t xml:space="preserve">PDF различает регистрацию из корзины и шапки; чек-лист описывает только главную. Закрытие через Esc и фон не описано.</x:t>
  </x:si>
  <x:si>
    <x:t xml:space="preserve">Проверка №9 относится только к входу из шапки? Можно ли закрыть попап через Esc или фон?</x:t>
  </x:si>
  <x:si>
    <x:t xml:space="preserve">PDF прямо задаёт: из корзины — оформление заказа, иначе — главная. Для закрытия используем крестик из чек-листа. Иные способы закрытия — без допущения.</x:t>
  </x:si>
  <x:si>
    <x:t xml:space="preserve">Попап «Всё получилось!»</x:t>
  </x:si>
  <x:si>
    <x:t xml:space="preserve">Попап</x:t>
  </x:si>
  <x:si>
    <x:t xml:space="preserve">R16. Регистрация UI–API. PDF, с. 2–3</x:t>
  </x:si>
  <x:si>
    <x:t xml:space="preserve">В примере password=pswd нарушает длину и состав. Нет поля повтора и доп. адресных полей; коды ошибок формата и дубликата не заданы.</x:t>
  </x:si>
  <x:si>
    <x:t xml:space="preserve">Пример только схематический? Как передаются дополнительные поля? Какие ответы API для формата, дубликата и пустой строки?</x:t>
  </x:si>
  <x:si>
    <x:t xml:space="preserve">Для UI используем таблицу ограничений; pswd не является валидным паролем. Не придумываем API-параметры и HTTP-коды. КЭ описывает содержимое полей UI, не JSON null и отсутствие ключа.</x:t>
  </x:si>
  <x:si>
    <x:t xml:space="preserve">Крестик попапа</x:t>
  </x:si>
  <x:si>
    <x:t xml:space="preserve">Кнопка закрытия</x:t>
  </x:si>
  <x:si>
    <x:t xml:space="preserve">R17. Маскирование регистрации. PDF, с. 1–2</x:t>
  </x:si>
  <x:si>
    <x:t xml:space="preserve">Маскирование явно задано для авторизации, но не для двух полей пароля при регистрации.</x:t>
  </x:si>
  <x:si>
    <x:t xml:space="preserve">Как отображаются оба пароля при регистрации? Предусмотрено ли переключение видимости?</x:t>
  </x:si>
  <x:si>
    <x:t xml:space="preserve">Допущение не требуется для проверки состава, длины и совпадения. Правило маскирования авторизации автоматически не переносим на регистрацию.</x:t>
  </x:si>
  <x:si>
    <x:t xml:space="preserve">Форма авторизации приложения «Прилавок»</x:t>
  </x:si>
  <x:si>
    <x:t xml:space="preserve">Кнопка «Войти» в шапке</x:t>
  </x:si>
  <x:si>
    <x:t xml:space="preserve">A01. Валидация входа. PDF, с. 2</x:t>
  </x:si>
  <x:si>
    <x:t xml:space="preserve">Для регистрации есть ограничения, а при входе указана отправка любых двух заполненных полей.</x:t>
  </x:si>
  <x:si>
    <x:t xml:space="preserve">Должны ли на входе действовать ограничения длины и алфавита регистрации?</x:t>
  </x:si>
  <x:si>
    <x:t xml:space="preserve">Дополнительную клиентскую валидацию не вводим: по PDF два непустых поля отправляются на сервер. Не переносим КЭ регистрации на авторизацию без подтверждения.</x:t>
  </x:si>
  <x:si>
    <x:t xml:space="preserve">Ссылка перехода</x:t>
  </x:si>
  <x:si>
    <x:t xml:space="preserve">A02. Оба поля пустые. PDF, с. 2; чек-лист №40–42</x:t>
  </x:si>
  <x:si>
    <x:t xml:space="preserve">PDF явно описывает приоритет Email; чек-лист отдельно требует ошибки обоих обязательных полей.</x:t>
  </x:si>
  <x:si>
    <x:t xml:space="preserve">При двух пустых полях показывать только Email или сразу обе ошибки?</x:t>
  </x:si>
  <x:si>
    <x:t xml:space="preserve">Рабочее допущение: сначала «Email является обязательным». После заполнения Email при пустом пароле — «Пароль является обязательным». Приоритет взят из последовательности PDF.</x:t>
  </x:si>
  <x:si>
    <x:t xml:space="preserve">Кнопка «Войти» в футере регистрации</x:t>
  </x:si>
  <x:si>
    <x:t xml:space="preserve">A03. Email при входе. PDF, с. 2</x:t>
  </x:si>
  <x:si>
    <x:t xml:space="preserve">Не задан учёт регистра и удаление краевых пробелов при поиске аккаунта.</x:t>
  </x:si>
  <x:si>
    <x:t xml:space="preserve">Сохраняется ли регистр? Удаляются ли пробелы? Совпадают ли правила с уникальностью при регистрации?</x:t>
  </x:si>
  <x:si>
    <x:t xml:space="preserve">Без допущения: базовый вход проверяется с email в точности как при регистрации. Варианты регистра и пробелов требуют ответа вместе с R04.</x:t>
  </x:si>
  <x:si>
    <x:t xml:space="preserve">A04. Пароль при входе. PDF, с. 2</x:t>
  </x:si>
  <x:si>
    <x:t xml:space="preserve">Не описано преобразование регистра и краевых пробелов перед сравнением.</x:t>
  </x:si>
  <x:si>
    <x:t xml:space="preserve">Пароль сравнивается посимвольно без изменения регистра и удаления пробелов?</x:t>
  </x:si>
  <x:si>
    <x:t xml:space="preserve">Рабочее допущение: пароль передаётся и сравнивается без преобразований, с учётом регистра. Отличающийся пароль — некорректная пара. Требуется согласование.</x:t>
  </x:si>
  <x:si>
    <x:t xml:space="preserve">Поле ввода с маской</x:t>
  </x:si>
  <x:si>
    <x:t xml:space="preserve">A05. Жизненный цикл ошибок. Чек-лист №40–43</x:t>
  </x:si>
  <x:si>
    <x:t xml:space="preserve">Заданы тексты и оформление ошибок, но не момент их исчезновения после исправления.</x:t>
  </x:si>
  <x:si>
    <x:t xml:space="preserve">Когда снимаются красная точка и сообщение: при вводе, потере фокуса или следующей отправке?</x:t>
  </x:si>
  <x:si>
    <x:t xml:space="preserve">Без допущения о моменте исчезновения. Проверяем ошибку после отправки и успешный вход после исправления; промежуточные состояния требуют уточнения.</x:t>
  </x:si>
  <x:si>
    <x:t xml:space="preserve">Кнопка «Войти» в форме</x:t>
  </x:si>
  <x:si>
    <x:t xml:space="preserve">A06. Отправка входа. PDF, с. 2</x:t>
  </x:si>
  <x:si>
    <x:t xml:space="preserve">Не заданы повторные клики, сетевой сбой, 5xx и тайм-аут.</x:t>
  </x:si>
  <x:si>
    <x:t xml:space="preserve">Блокируется ли кнопка на время запроса? Какие сообщения и возможность повтора предусмотрены?</x:t>
  </x:si>
  <x:si>
    <x:t xml:space="preserve">Без допущения. Не подменяем техническую ошибку сообщением о неверной паре: правила технических ошибок нужно согласовать.</x:t>
  </x:si>
  <x:si>
    <x:t xml:space="preserve">Признаки обязательности</x:t>
  </x:si>
  <x:si>
    <x:t xml:space="preserve">Индикаторы полей</x:t>
  </x:si>
  <x:si>
    <x:t xml:space="preserve">A07. Вход из корзины. PDF, с. 2</x:t>
  </x:si>
  <x:si>
    <x:t xml:space="preserve">Переход на главную задан, но сохранность корзины и введённых до входа данных не описана.</x:t>
  </x:si>
  <x:si>
    <x:t xml:space="preserve">Сохраняются ли корзина и данные оформления после входа и возврата к заказу?</x:t>
  </x:si>
  <x:si>
    <x:t xml:space="preserve">Переход на главную проверяется по PDF. Сохранность корзины и данных не объявляем обязательной без уточнения.</x:t>
  </x:si>
  <x:si>
    <x:t xml:space="preserve">Текст сообщения об ошибке под полями</x:t>
  </x:si>
  <x:si>
    <x:t xml:space="preserve">Текстовый элемент</x:t>
  </x:si>
  <x:si>
    <x:t xml:space="preserve">A08. Сессия после входа. PDF, с. 2,5</x:t>
  </x:si>
  <x:si>
    <x:t xml:space="preserve">Упомянут authToken, но не описаны срок сессии, обновление страницы, закрытие браузера и выход.</x:t>
  </x:si>
  <x:si>
    <x:t xml:space="preserve">Когда сессия истекает? Должна ли переживать обновление и перезапуск? Как аннулируется при выходе?</x:t>
  </x:si>
  <x:si>
    <x:t xml:space="preserve">Без допущения. Успешный вход проверяем в текущей сессии. Сроки и способ хранения токена не назначаем.</x:t>
  </x:si>
  <x:si>
    <x:t xml:space="preserve">Главная страница</x:t>
  </x:si>
  <x:si>
    <x:t xml:space="preserve">Экран</x:t>
  </x:si>
  <x:si>
    <x:t xml:space="preserve">A09. Повторные ошибки входа. PDF, с. 2</x:t>
  </x:si>
  <x:si>
    <x:t xml:space="preserve">Нет правил лимита попыток, блокировки, CAPTCHA и восстановления доступа.</x:t>
  </x:si>
  <x:si>
    <x:t xml:space="preserve">Предусмотрены ли такие механизмы и какие условия их запуска?</x:t>
  </x:si>
  <x:si>
    <x:t xml:space="preserve">Без допущения: не добавляем обязательную CAPTCHA, блокировку или восстановление пароля. Проверки возможны после подтверждения функциональности.</x:t>
  </x:si>
  <x:si>
    <x:t xml:space="preserve">Шапка после входа</x:t>
  </x:si>
  <x:si>
    <x:t xml:space="preserve">A10. Шапка после входа. Чек-лист №44</x:t>
  </x:si>
  <x:si>
    <x:t xml:space="preserve">Кнопка «Выйти» названа зелёной, но указан код #EFEA34 — жёлтый.</x:t>
  </x:si>
  <x:si>
    <x:t xml:space="preserve">Что является эталоном цвета: словесное описание, код или согласованный макет?</x:t>
  </x:si>
  <x:si>
    <x:t xml:space="preserve">Без допущения. Противоречие фиксируется до уточнения; цвет не меняет КЭ и ГЗ полей.</x:t>
  </x:si>
  <x:si>
    <x:t xml:space="preserve">Чек-лист смоук</x:t>
  </x:si>
  <x:si>
    <x:t xml:space="preserve">ID</x:t>
  </x:si>
  <x:si>
    <x:t xml:space="preserve">Название проверки</x:t>
  </x:si>
  <x:si>
    <x:t xml:space="preserve">Окружение / статус</x:t>
  </x:si>
  <x:si>
    <x:t xml:space="preserve">ID баг-репорта / причина Blocked</x:t>
  </x:si>
  <x:si>
    <x:t xml:space="preserve">Автопроверка</x:t>
  </x:si>
  <x:si>
    <x:t xml:space="preserve">Открыть регистрацию из шапки: форма доступна (opera 1920×1080, 20.10.2026)</x:t>
  </x:si>
  <x:si>
    <x:t xml:space="preserve">Passed</x:t>
  </x:si>
  <x:si>
    <x:t xml:space="preserve">Зарегистрировать пользователя: попап успеха и авторизация после его закрытия (opera 1920×1080, 20.10.2026)</x:t>
  </x:si>
  <x:si>
    <x:t xml:space="preserve">Failed</x:t>
  </x:si>
  <x:si>
    <x:t xml:space="preserve">bug-1</x:t>
  </x:si>
  <x:si>
    <x:t xml:space="preserve">Проверить обязательность телефона: пустое значение не создаёт аккаунт (opera 1920×1080, 20.10.2026)</x:t>
  </x:si>
  <x:si>
    <x:t xml:space="preserve">bug-2</x:t>
  </x:si>
  <x:si>
    <x:t xml:space="preserve">Повторно зарегистрировать тот же email: второй аккаунт не создаётся (opera 1920×1080, 20.10.2026)</x:t>
  </x:si>
  <x:si>
    <x:t xml:space="preserve">Выйти из аккаунта: доступны кнопки входа и регистрации (opera 1920×1080, 20.10.2026)</x:t>
  </x:si>
  <x:si>
    <x:t xml:space="preserve">Открыть главную страницу: видны каталог и кнопки входа/регистрации. Открыть регистрацию и закрыть крестиком: форма закрывается, главная снова доступна (opera 1920×1080, 23.10.2026)</x:t>
  </x:si>
  <x:si>
    <x:t xml:space="preserve">Открыть авторизацию кнопкой «Войти» в шапке: видны Email, Пароль и кнопка «Войти». Закрыть крестиком: форма закрывается, главная снова доступна (opera 1920×1080, 23.10.2026)</x:t>
  </x:si>
  <x:si>
    <x:t xml:space="preserve">Комплексная проверка по плану тестирования</x:t>
  </x:si>
  <x:si>
    <x:t xml:space="preserve">№</x:t>
  </x:si>
  <x:si>
    <x:t xml:space="preserve">Порядок выполнения</x:t>
  </x:si>
  <x:si>
    <x:t xml:space="preserve">Метка регресса</x:t>
  </x:si>
  <x:si>
    <x:t xml:space="preserve">Описание проверки</x:t>
  </x:si>
  <x:si>
    <x:t xml:space="preserve">Статус Chrome 1920×1080</x:t>
  </x:si>
  <x:si>
    <x:t xml:space="preserve">Статус Firefox 1280×720</x:t>
  </x:si>
  <x:si>
    <x:t xml:space="preserve">Статус Chrome 768×1024</x:t>
  </x:si>
  <x:si>
    <x:t xml:space="preserve">Комментарий</x:t>
  </x:si>
  <x:si>
    <x:t xml:space="preserve">Форма регистрации. Общее</x:t>
  </x:si>
  <x:si>
    <x:t xml:space="preserve">Критический путь</x:t>
  </x:si>
  <x:si>
    <x:t xml:space="preserve">Неавторизованный пользователь может попасть на экран регистрации по клику на кнопку «Зарегистрироваться» в шапке сайта</x:t>
  </x:si>
  <x:si>
    <x:t xml:space="preserve">PASSED</x:t>
  </x:si>
  <x:si>
    <x:t xml:space="preserve">SKIPPED</x:t>
  </x:si>
  <x:si>
    <x:t xml:space="preserve">В форме регистрации присутствуют поля в порядке: 
Имя
Номер телефона
E-mail
Пароль
Повторите пароль
Адрес доставки
Комментарий к заказу</x:t>
  </x:si>
  <x:si>
    <x:t xml:space="preserve">FAILED</x:t>
  </x:si>
  <x:si>
    <x:t xml:space="preserve">bug-3</x:t>
  </x:si>
  <x:si>
    <x:t xml:space="preserve">Остальное</x:t>
  </x:si>
  <x:si>
    <x:t xml:space="preserve">При открытии формы кнопка «Зарегистрироваться» активна</x:t>
  </x:si>
  <x:si>
    <x:t xml:space="preserve">Цвет кнопки «Зарегистрироваться» #EFEA34</x:t>
  </x:si>
  <x:si>
    <x:t xml:space="preserve">Зона риска</x:t>
  </x:si>
  <x:si>
    <x:t xml:space="preserve">При прокрутке формы регистрации появляется футер формы: ссылка «У вас уже есть аккаунт» и кнопка «Войти»</x:t>
  </x:si>
  <x:si>
    <x:t xml:space="preserve">bug-5</x:t>
  </x:si>
  <x:si>
    <x:t xml:space="preserve">Цвет футера #70D2FC</x:t>
  </x:si>
  <x:si>
    <x:t xml:space="preserve">BLOCKED</x:t>
  </x:si>
  <x:si>
    <x:t xml:space="preserve">Заведен  bug-5.Вданный момент футер отсутствует.</x:t>
  </x:si>
  <x:si>
    <x:t xml:space="preserve">Цвет кнопки «Войти» #EFEA34</x:t>
  </x:si>
  <x:si>
    <x:t xml:space="preserve">Завед bug-5.Вданный момент футер отсутствует.</x:t>
  </x:si>
  <x:si>
    <x:t xml:space="preserve">При заполнении всех обязательных полей валидными данными появляется попап с сообщением «Всё получилось!» и крестиком закрытия</x:t>
  </x:si>
  <x:si>
    <x:t xml:space="preserve">При нажатии на крестик пользователь автоматически авторизуется и происходит переход на главный экран, кнопка «Войти» меняется на «Выйти»</x:t>
  </x:si>
  <x:si>
    <x:t xml:space="preserve">Нет попапа и крестика, выполнить требуемое закрытие невозможно </x:t>
  </x:si>
  <x:si>
    <x:t xml:space="preserve">При повороте устройства в альбомную ориентацию интерфейс формы регистрации перестраивается без наложений и скрытия элементов</x:t>
  </x:si>
  <x:si>
    <x:t xml:space="preserve">Поле Имя</x:t>
  </x:si>
  <x:si>
    <x:t xml:space="preserve">При открытии формы внутри поля есть синяя точка обязательности заполнения</x:t>
  </x:si>
  <x:si>
    <x:t xml:space="preserve">В поле имеется плейсхолдер «Имя»</x:t>
  </x:si>
  <x:si>
    <x:t xml:space="preserve">Если поле «Имя» не заполнено, а остальные обязательные поля заполнены валидными данными, кнопка «Зарегистрироваться» недоступна для нажатия, в поле появляется красная точка, а под всеми полями сообщение «Заполните все обязательные поля»</x:t>
  </x:si>
  <x:si>
    <x:t xml:space="preserve">bug-4</x:t>
  </x:si>
  <x:si>
    <x:t xml:space="preserve">Поле Номер телефона</x:t>
  </x:si>
  <x:si>
    <x:t xml:space="preserve">В поле имеется плейсхолдер «Номер телефона»</x:t>
  </x:si>
  <x:si>
    <x:t xml:space="preserve">Если поле «Номер телефона» не заполнено, а остальные обязательные поля заполнены валидными данными, кнопка «Зарегистрироваться» недоступна для нажатия, в поле появляется красная точка, а под всеми полями сообщение «Заполните все обязательные поля»</x:t>
  </x:si>
  <x:si>
    <x:t xml:space="preserve">После отправки с пустым телефоном форма закрылась, пользователь авторизован; на главной видны «Выйти» и «Мои наборы».</x:t>
  </x:si>
  <x:si>
    <x:t xml:space="preserve">Поле Email</x:t>
  </x:si>
  <x:si>
    <x:t xml:space="preserve">В поле имеется плейсхолдер «Email»</x:t>
  </x:si>
  <x:si>
    <x:t xml:space="preserve">Если поле «Email» не заполнено, а остальные обязательные поля заполнены валидными данными, кнопка «Зарегистрироваться» недоступна для нажатия, в поле появляется красная точка, а под всеми полями сообщение «Заполните все обязательные поля»</x:t>
  </x:si>
  <x:si>
    <x:t xml:space="preserve">При регистрации пользователя с неуникальным e‑mail, выводится сообщение: «Пользователь с таким e‑mail уже существует»</x:t>
  </x:si>
  <x:si>
    <x:t xml:space="preserve">Поле Пароль</x:t>
  </x:si>
  <x:si>
    <x:t xml:space="preserve">В поле имеется плейсхолдер «Пароль»</x:t>
  </x:si>
  <x:si>
    <x:t xml:space="preserve">Если поле «Пароль» не заполнено, а остальные обязательные поля заполнены валидными данными, кнопка «Зарегистрироваться» недоступна для нажатия, в поле появляется красная точка, а под всеми полями сообщение «Заполните все обязательные поля»</x:t>
  </x:si>
  <x:si>
    <x:t xml:space="preserve">Поле Повторите пароль</x:t>
  </x:si>
  <x:si>
    <x:t xml:space="preserve">В поле имеется плейсхолдер «Повторите пароль»</x:t>
  </x:si>
  <x:si>
    <x:t xml:space="preserve">Если поле «Повторите пароль» не заполнено, а остальные обязательные поля заполнены валидными данными, кнопка «Зарегистрироваться» недоступна для нажатия, в поле появляется красная точка, а под всеми полями сообщение «Заполните все обязательные поля»</x:t>
  </x:si>
  <x:si>
    <x:t xml:space="preserve">Если пароли в полях «Пароль» и «Подтверждение пароля» не совпадают, выводится ошибка: «Пароли не совпадают»</x:t>
  </x:si>
  <x:si>
    <x:t xml:space="preserve">Поле Адрес (улица, номер дома, номер квартиры)</x:t>
  </x:si>
  <x:si>
    <x:t xml:space="preserve">В поле имеется плейсхолдер «Улица, номер дома, номер квартиры»</x:t>
  </x:si>
  <x:si>
    <x:t xml:space="preserve">Если поле не заполнено, а остальные обязательные поля заполнены валидными данными, кнопка «Зарегистрироваться» недоступна для нажатия, в поле появляется красная точка, а под всеми полями сообщение «Заполните все обязательные поля»</x:t>
  </x:si>
  <x:si>
    <x:t xml:space="preserve">При вводе значения с пробелами в начале они удаляются после снятия фокуса</x:t>
  </x:si>
  <x:si>
    <x:t xml:space="preserve">bug-8</x:t>
  </x:si>
  <x:si>
    <x:t xml:space="preserve">При вводе значения с пробелами после они удаляются после снятия фокуса</x:t>
  </x:si>
  <x:si>
    <x:t xml:space="preserve">Форма авторизации</x:t>
  </x:si>
  <x:si>
    <x:t xml:space="preserve">Неавторизованный пользователь может попасть на экран авторизации по клику на кнопку «Войти» в шапке сайта</x:t>
  </x:si>
  <x:si>
    <x:t xml:space="preserve">Неавторизованный пользователь может попасть на экран авторизации  по ссылке «У вас уже есть аккаунт? Войти» со страницы регистрации</x:t>
  </x:si>
  <x:si>
    <x:t xml:space="preserve">Заведен баг-репорт.До исправления не возможно протестировать.</x:t>
  </x:si>
  <x:si>
    <x:t xml:space="preserve">Форма авторизации содержит поля ввода: «Email» и «Пароль» и кнопку «Войти»</x:t>
  </x:si>
  <x:si>
    <x:t xml:space="preserve">Оба поля имеют признак обязательности: голубые точки внутри поля</x:t>
  </x:si>
  <x:si>
    <x:t xml:space="preserve">По умолчанию кнопка «Войти» активна</x:t>
  </x:si>
  <x:si>
    <x:t xml:space="preserve">При вводе пароля символы маскируются точками</x:t>
  </x:si>
  <x:si>
    <x:t xml:space="preserve">При авторизации с пустым Email при нажатии кнопки «Войти» под полем «Email» появляется сообщение об ошибке красным текстом: «Email является обязательным»</x:t>
  </x:si>
  <x:si>
    <x:t xml:space="preserve">bug-6</x:t>
  </x:si>
  <x:si>
    <x:t xml:space="preserve">При авторизации с пустым полем «Пароль» при нажатии кнопки «Войти» под полем появляется сообщение об ошибке красным текстом: «Пароль является обязательным»</x:t>
  </x:si>
  <x:si>
    <x:t xml:space="preserve">Если хотя бы одно из полей не заполнено, в поле появляется красная точка</x:t>
  </x:si>
  <x:si>
    <x:t xml:space="preserve">При авторизации с некорректными данными под полями выводится ошибка: «Неправильные логин и/или пароль»</x:t>
  </x:si>
  <x:si>
    <x:t xml:space="preserve">bug-7</x:t>
  </x:si>
  <x:si>
    <x:t xml:space="preserve">Внешний вид шапки авторизованного пользователя: кнопка «Выйти» зеленого цвета #EFEA34, кнопка «Мои наборы» #fa90e8</x:t>
  </x:si>
  <x:si>
    <x:t xml:space="preserve">bug-9</x:t>
  </x:si>
  <x:si>
    <x:t xml:space="preserve">При повороте устройства в альбомную ориентацию интерфейс формы авторизации перестраивается без наложений и скрытия элементов</x:t>
  </x:si>
  <x:si>
    <x:t xml:space="preserve">Запрос POST api/v1/users с валидными данными для всех обязательных полей возвращает ответ 201 Created и авторизационный токен пользователя</x:t>
  </x:si>
  <x:si>
    <x:t xml:space="preserve">Данные успешно сохранены в БД</x:t>
  </x:si>
  <x:si>
    <x:t xml:space="preserve">При регистрации с UI в DevTools ответ 201 и в ответе содержится AuthToken</x:t>
  </x:si>
  <x:si>
    <x:t xml:space="preserve">Запрос POST api/v1/users с пустым полем firstName возвращает ответ 400 Bad request</x:t>
  </x:si>
  <x:si>
    <x:t xml:space="preserve">Данные не сохранены в БД</x:t>
  </x:si>
  <x:si>
    <x:t xml:space="preserve">Запрос POST api/v1/users с пустым полем phone возвращает ответ 400 Bad request</x:t>
  </x:si>
  <x:si>
    <x:t xml:space="preserve">Запрос POST api/v1/users с пустым полем password возвращает ответ 400 Bad request</x:t>
  </x:si>
  <x:si>
    <x:t xml:space="preserve">Запрос POST api/v1/users/login с валидными данными для всех обязательных полей возвращает ответ 200 OK</x:t>
  </x:si>
  <x:si>
    <x:t xml:space="preserve">При авторизации с UI   ответ 200 </x:t>
  </x:si>
  <x:si>
    <x:t xml:space="preserve">Запрос POST api/v1/users/login с некорректной парой логин-пароль возвращает ответ 401 Unauthorized</x:t>
  </x:si>
  <x:si>
    <x:t xml:space="preserve">При авторизации с UI с некорректной парой логин-пароль  ответ 401 Unauthorized и сообщение Invalid email or password</x:t>
  </x:si>
  <x:si>
    <x:t xml:space="preserve">Баг-репорты</x:t>
  </x:si>
  <x:si>
    <x:t xml:space="preserve">Заголовок</x:t>
  </x:si>
  <x:si>
    <x:t xml:space="preserve">Предусловия</x:t>
  </x:si>
  <x:si>
    <x:t xml:space="preserve">Шаги воспроизведения</x:t>
  </x:si>
  <x:si>
    <x:t xml:space="preserve">Ожидаемый результат</x:t>
  </x:si>
  <x:si>
    <x:t xml:space="preserve">Фактический результат</x:t>
  </x:si>
  <x:si>
    <x:t xml:space="preserve">Окружение</x:t>
  </x:si>
  <x:si>
    <x:t xml:space="preserve">Скриншот / ссылка на доказательство</x:t>
  </x:si>
  <x:si>
    <x:t xml:space="preserve">Severity</x:t>
  </x:si>
  <x:si>
    <x:t xml:space="preserve">Priority</x:t>
  </x:si>
  <x:si>
    <x:t xml:space="preserve">Успешная регистрация авторизует без закрытия попапа «Всё получилось!»</x:t>
  </x:si>
  <x:si>
    <x:t xml:space="preserve">Открыт стенд; пользователь вышел из аккаунта. Данные: Анна; +79011233212; новый email вида qalead…@example.ru; пароль и повтор QaTest123; адрес «ул. Мира, 12». Остальные поля необязательны.</x:t>
  </x:si>
  <x:si>
    <x:t xml:space="preserve">1. Открыть регистрацию из шапки.
2. Заполнить Имя: Анна; Телефон: +79011233212; Email: новый адрес вида qalead…@example.ru; Пароль и Повторите пароль: QaTest123; Адрес: ул. Мира, 12.
3. Нажать кнопку «Зарегистрироваться».
4. Дождаться результата, не нажимая крестик.</x:t>
  </x:si>
  <x:si>
    <x:t xml:space="preserve">Появляется попап с сообщением «Всё получилось!» и крестиком закрытия. До закрытия попапа перехода нет. После нажатия крестика пользователь автоматически авторизуется и переходит на главную страницу; в шапке «Войти» меняется на «Выйти».</x:t>
  </x:si>
  <x:si>
    <x:t xml:space="preserve">Форма закрывается, сразу показана главная с «Выйти» и «Мои наборы». Требуемый попап и действие закрытия недоступны; пользователь уже авторизован.</x:t>
  </x:si>
  <x:si>
    <x:t xml:space="preserve">Windows; браузер opera 1920×1080, 20.10.2026.  Версия 2.0.1 указана в шаблоне, Windows; 1920×1080, 20.10.2026.; Chrome Версия: 155.0.8059.85 (официальная сборка) (64 бит) /Firefox 158.0.1 (64-разрядный) 1280×720  . Версия 2.0.1 указана в шаблоне</x:t>
  </x:si>
  <x:si>
    <x:r>
      <x:rPr>
        <x:u val="single"/>
        <x:sz val="10"/>
        <x:color rgb="FF1155CC"/>
        <x:rFont val="Arial"/>
      </x:rPr>
      <x:t xml:space="preserve">https://drive.google.com/open?id=1lTrxVf0QF2txABpPvNSIrbwRgq7PGW17&amp;usp=drive_copy</x:t>
    </x:r>
    <x:r>
      <x:rPr>
        <x:sz val="10"/>
        <x:color rgb="FF1F1F1F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https://drive.google.com/open?id=1qwdR6I5p-ieeU5ZBeWBsd6W--FtlHWwE&amp;usp=drive_copy</x:t>
    </x:r>
    <x:r>
      <x:rPr>
        <x:sz val="10"/>
        <x:color rgb="FF1F1F1F"/>
        <x:rFont val="Arial"/>
      </x:rPr>
      <x:t xml:space="preserve"> </x:t>
    </x:r>
  </x:si>
  <x:si>
    <x:t xml:space="preserve">Major</x:t>
  </x:si>
  <x:si>
    <x:t xml:space="preserve">Low</x:t>
  </x:si>
  <x:si>
    <x:t xml:space="preserve">Регистрация создаёт аккаунт с пустым телефоном</x:t>
  </x:si>
  <x:si>
    <x:t xml:space="preserve">1. Открыть регистрацию и заполнить поля данными из предусловий.
2. Очистить телефон и отправить форму.
3. Отдельно отправить POST /api/v1/users с phone:"" и другим новым email.
4. Выполнить SELECT по каждому тестовому email в user_model.</x:t>
  </x:si>
  <x:si>
    <x:t xml:space="preserve">UI блокирует создание аккаунта; API возвращает 400; новых записей с пустым phone нет.</x:t>
  </x:si>
  <x:si>
    <x:t xml:space="preserve">UI авторизовал пользователя. Прямой API вернул 201 и токен.</x:t>
  </x:si>
  <x:si>
    <x:t xml:space="preserve">Windows; 1920×1080, 20.10.2026.; Chrome Версия: 155.0.8059.85 (официальная сборка) (64 бит) /Firefox 158.0.1 1280×720 (64-разрядный) . Версия 2.0.1 указана в шаблоне.</x:t>
  </x:si>
  <x:si>
    <x:r>
      <x:rPr>
        <x:u val="single"/>
        <x:sz val="10"/>
        <x:color rgb="FF1155CC"/>
        <x:rFont val="Arial"/>
      </x:rPr>
      <x:t xml:space="preserve">https://drive.google.com/file/d/1iQIM94iDx9h45tJM9rVbWDX-s00SGuJw/view?usp=drive_link</x:t>
    </x:r>
    <x:r>
      <x:rPr>
        <x:sz val="10"/>
        <x:color rgb="FF1F1F1F"/>
        <x:rFont val="Arial"/>
      </x:rPr>
      <x:t xml:space="preserve"> </x:t>
    </x:r>
    <x:r>
      <x:rPr>
        <x:u val="single"/>
        <x:sz val="10"/>
        <x:color rgb="FF1155CC"/>
        <x:rFont val="Arial"/>
      </x:rPr>
      <x:t xml:space="preserve">https://drive.google.com/file/d/1nrR1EKC0T8TA1_-Y2spPur2NjVYkwLFN/view?usp=drive_link</x:t>
    </x:r>
    <x:r>
      <x:rPr>
        <x:sz val="10"/>
        <x:color rgb="FF1F1F1F"/>
        <x:rFont val="Arial"/>
      </x:rPr>
      <x:t xml:space="preserve"> </x:t>
    </x:r>
  </x:si>
  <x:si>
    <x:t xml:space="preserve">Medium</x:t>
  </x:si>
  <x:si>
    <x:t xml:space="preserve">Поля регистрации расположены в другом порядке</x:t>
  </x:si>
  <x:si>
    <x:t xml:space="preserve">1. Открыть регистрацию из шапки.2. Сравнить порядок полей с чек-листом.</x:t>
  </x:si>
  <x:si>
    <x:t xml:space="preserve">Имя → Номер телефона → Email → Пароль → Повторите пароль → Адрес → Комментарий.</x:t>
  </x:si>
  <x:si>
    <x:t xml:space="preserve">Email → Имя → Пароль → Повторите пароль → Номер телефона → Адрес → Комментарий.</x:t>
  </x:si>
  <x:si>
    <x:t xml:space="preserve">Windows; 1920×1080, 20.10.2026.; Chrome Версия: 155.0.8059.85 (официальная сборка) (64 бит) /Firefox 158.0.1 1280×720  (64-разрядный) . Версия 2.0.1 указана в шаблоне, </x:t>
  </x:si>
  <x:si>
    <x:r>
      <x:rPr>
        <x:u val="single"/>
        <x:sz val="10"/>
        <x:color rgb="FF1155CC"/>
        <x:rFont val="Arial"/>
      </x:rPr>
      <x:t xml:space="preserve">https://drive.google.com/open?id=15tOGl9kJ_roeXoveVnpmwhCdP0YuEv_I&amp;usp=drive_copy</x:t>
    </x:r>
    <x:r>
      <x:rPr>
        <x:sz val="10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https://drive.google.com/open?id=1uy7MK9TQFmJ-jE13N1qIFrCCA3NVFDl0&amp;usp=drive_copy</x:t>
    </x:r>
    <x:r>
      <x:rPr>
        <x:sz val="10"/>
        <x:rFont val="Arial"/>
      </x:rPr>
      <x:t xml:space="preserve"> </x:t>
    </x:r>
  </x:si>
  <x:si>
    <x:t xml:space="preserve">Кнопка «Зарегистрироваться» остаётся доступной, а точки в полях — голубыми после очистки обязательного поля в форме регистрации</x:t>
  </x:si>
  <x:si>
    <x:t xml:space="preserve">1. Заполнить форму данными из предусловий.
2. Очистить только поле «Имя» и снять фокус.
3. Проверить кнопку «Зарегистрироваться», точку в поле и текст сообщения; если кнопка доступна — нажать её.
4. Повторить отдельно для Email, Пароля, Повторите пароль и Адреса, восстанавливая остальные поля перед каждым повтором.</x:t>
  </x:si>
  <x:si>
    <x:t xml:space="preserve">После очистки обязательного поля кнопка «Зарегистрироваться» недоступна для нажатия, внутри пустого поля появляется красная точка, под всеми полями — «Заполните все обязательные поля» (чек-лист №13, 19, 23, 26, 30). При первом открытии кнопка активна по PDF;.</x:t>
  </x:si>
  <x:si>
    <x:t xml:space="preserve">Кнопка остаётся доступной. Вместо общего сообщения показано «Обязательное поле» у незаполненного поля; индикаторы остаются голубыми. Регистрация для этих комбинаций не завершилась; отдельный тестовый email не появился в БД. Пустой телефон — bug-2.</x:t>
  </x:si>
  <x:si>
    <x:r>
      <x:rPr>
        <x:u val="single"/>
        <x:sz val="10"/>
        <x:color rgb="FF1155CC"/>
        <x:rFont val="Arial"/>
      </x:rPr>
      <x:t xml:space="preserve">https://drive.google.com/open?id=1hR0f53RQ1_sP-uKN3gZP_lvnClvDLu2L&amp;usp=drive_copy</x:t>
    </x:r>
    <x:r>
      <x:rPr>
        <x:sz val="10"/>
        <x:color rgb="FF1F1F1F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https://drive.google.com/open?id=1j1nj_E9d20jvnIR0OZyCX9O8JtQ0bUgF&amp;usp=drive_copy</x:t>
    </x:r>
    <x:r>
      <x:rPr>
        <x:sz val="10"/>
        <x:color rgb="FF1F1F1F"/>
        <x:rFont val="Arial"/>
      </x:rPr>
      <x:t xml:space="preserve"> </x:t>
    </x:r>
  </x:si>
  <x:si>
    <x:t xml:space="preserve">В форме регистрации отсутствует футер с переходом ко входу</x:t>
  </x:si>
  <x:si>
    <x:t xml:space="preserve">1. Открыть регистрацию.2. Прокрутить форму до конца.3. Найти ссылку «У вас уже есть аккаунт» и кнопку «Войти».</x:t>
  </x:si>
  <x:si>
    <x:t xml:space="preserve">Внизу виден футер со ссылкой и кнопкой входа; по кнопке открывается авторизация.</x:t>
  </x:si>
  <x:si>
    <x:t xml:space="preserve">Форма заканчивается кнопкой регистрации; футера и перехода ко входу нет. Цвета отсутствующих элементов проверить нельзя.</x:t>
  </x:si>
  <x:si>
    <x:r>
      <x:rPr>
        <x:u val="single"/>
        <x:sz val="10"/>
        <x:color rgb="FF1155CC"/>
        <x:rFont val="Arial"/>
      </x:rPr>
      <x:t xml:space="preserve">https://drive.google.com/open?id=1zuPssJlqZhlw3Pz10XvUpTOWAY46SPL8&amp;usp=drive_copy</x:t>
    </x:r>
    <x:r>
      <x:rPr>
        <x:sz val="10"/>
        <x:color rgb="FF1F1F1F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https://drive.google.com/open?id=1yaoR_u7li6M3QSViThHORKLSlRUKEcYq&amp;usp=drive_copy</x:t>
    </x:r>
    <x:r>
      <x:rPr>
        <x:sz val="10"/>
        <x:color rgb="FF1F1F1F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https://drive.google.com/open?id=16CvZW8ZEewfH72xYT-CFQoKkncdN4xeF&amp;usp=drive_copy</x:t>
    </x:r>
    <x:r>
      <x:rPr>
        <x:sz val="10"/>
        <x:color rgb="FF1F1F1F"/>
        <x:rFont val="Arial"/>
      </x:rPr>
      <x:t xml:space="preserve"> </x:t>
    </x:r>
  </x:si>
  <x:si>
    <x:t xml:space="preserve">При пустых полях входа показан общий текст вместо заданных сообщений</x:t>
  </x:si>
  <x:si>
    <x:t xml:space="preserve">1. Открыть вход; оставить оба поля пустыми, нажать «Войти».2. Заполнить email, оставить пароль пустым, повторить.3.Оставить поле email пустым ,заполнить поле пароль,повторить.</x:t>
  </x:si>
  <x:si>
    <x:t xml:space="preserve">При нажатии «Войти» внутри незаполненного поля появляется красная точка. Под пустым Email красным текстом: «Email является обязательным». Если Email заполнен, а Пароль пустой, под Паролем красным текстом: «Пароль является обязательным». </x:t>
  </x:si>
  <x:si>
    <x:t xml:space="preserve">В обоих случаях показано «Обязательное поле».</x:t>
  </x:si>
  <x:si>
    <x:r>
      <x:rPr>
        <x:u val="single"/>
        <x:sz val="10"/>
        <x:color rgb="FF1155CC"/>
        <x:rFont val="Arial"/>
      </x:rPr>
      <x:t xml:space="preserve">https://drive.google.com/open?id=1B0GeOwKCuNJgPF-Rp1jNrBpH5dRrXKBh&amp;usp=drive_copy</x:t>
    </x:r>
    <x:r>
      <x:rPr>
        <x:sz val="10"/>
        <x:color rgb="FF1F1F1F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https://drive.google.com/open?id=1BbfuFU3JkgsGtUe_saR4Tuo1rFV8SKyP&amp;usp=drive_copy</x:t>
    </x:r>
    <x:r>
      <x:rPr>
        <x:sz val="10"/>
        <x:color rgb="FF1F1F1F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https://drive.google.com/open?id=1BiKhNRZ0djfdMVbfTS7Y8lRj7ZuSitCl&amp;usp=drive_copy</x:t>
    </x:r>
    <x:r>
      <x:rPr>
        <x:sz val="10"/>
        <x:color rgb="FF1F1F1F"/>
        <x:rFont val="Arial"/>
      </x:rPr>
      <x:t xml:space="preserve"> 
</x:t>
    </x:r>
    <x:r>
      <x:rPr>
        <x:u val="single"/>
        <x:sz val="10"/>
        <x:color rgb="FF1155CC"/>
        <x:rFont val="Arial"/>
      </x:rPr>
      <x:t xml:space="preserve">https://drive.google.com/open?id=1KOrB3sHiVEz2f6Jlz1rtofeMJyBjDSq9&amp;usp=drive_copy</x:t>
    </x:r>
    <x:r>
      <x:rPr>
        <x:sz val="10"/>
        <x:color rgb="FF1F1F1F"/>
        <x:rFont val="Arial"/>
      </x:rPr>
      <x:t xml:space="preserve"> </x:t>
    </x:r>
  </x:si>
  <x:si>
    <x:t xml:space="preserve">Minor</x:t>
  </x:si>
  <x:si>
    <x:t xml:space="preserve">В форме авторизации появляется «Пользователь с такими данными не найден» вместо «Неправильные логин и/или пароль» при входе с существующим email и паролем Wrong123</x:t>
  </x:si>
  <x:si>
    <x:t xml:space="preserve">1. Ввести существующий email qaleadvalid1792507594783@example.ru.
2. Ввести Wrong123; пароль аккаунта — QaTest123.
3. Нажать «Войти».</x:t>
  </x:si>
  <x:si>
    <x:t xml:space="preserve">«Неправильные логин и/или пароль».</x:t>
  </x:si>
  <x:si>
    <x:t xml:space="preserve">«Пользователь с такими данными не найден». Прямой API для неверной пары корректно возвращает 401 и Invalid email or password; это отдельная API-проверка.</x:t>
  </x:si>
  <x:si>
    <x:r>
      <x:rPr>
        <x:u val="single"/>
        <x:sz val="10"/>
        <x:color rgb="FF1155CC"/>
        <x:rFont val="Arial"/>
      </x:rPr>
      <x:t xml:space="preserve">https://drive.google.com/file/d/1zhHSRK50Q0u-lPxsiL0R8wakK0caf2zx/view?usp=drive_link</x:t>
    </x:r>
    <x:r>
      <x:rPr>
        <x:sz val="10"/>
        <x:color rgb="FF1F1F1F"/>
        <x:rFont val="Arial"/>
      </x:rPr>
      <x:t xml:space="preserve"> </x:t>
    </x:r>
    <x:r>
      <x:rPr>
        <x:u val="single"/>
        <x:sz val="10"/>
        <x:color rgb="FF1155CC"/>
        <x:rFont val="Arial"/>
      </x:rPr>
      <x:t xml:space="preserve">https://drive.google.com/file/d/1vF0EFpPyLlzJvVe4SeS9GVwxnC2y4sNE/view?usp=drive_link</x:t>
    </x:r>
    <x:r>
      <x:rPr>
        <x:sz val="10"/>
        <x:color rgb="FF1F1F1F"/>
        <x:rFont val="Arial"/>
      </x:rPr>
      <x:t xml:space="preserve"> </x:t>
    </x:r>
  </x:si>
  <x:si>
    <x:t xml:space="preserve">Краевые пробелы адреса не удаляются при потере фокуса</x:t>
  </x:si>
  <x:si>
    <x:t xml:space="preserve">1. Ввести адрес «  ул. Мира, 12» и нажать Tab.2. Повторить с «ул. Мира, 12  ».3. Зарегистрироваться с «  ул. Мира, 12  ».4. Прочитать address и его длину в БД по email.</x:t>
  </x:si>
  <x:si>
    <x:t xml:space="preserve">После потери фокуса остаётся «ул. Мира, 12»; сохранённый адрес без краевых пробелов, 12 символов.</x:t>
  </x:si>
  <x:si>
    <x:t xml:space="preserve">После Tab введённые пробелы остаются. У пользователя id=1 в БД address='  ул. Мира, 12'</x:t>
  </x:si>
  <x:si>
    <x:r>
      <x:rPr>
        <x:u val="single"/>
        <x:sz val="10"/>
        <x:color rgb="FF1155CC"/>
        <x:rFont val="Arial"/>
      </x:rPr>
      <x:t xml:space="preserve">https://drive.google.com/file/d/1j-8oFo1BociX2XqsAp7l2hdMfU6WxbQn/view?usp=drive_link</x:t>
    </x:r>
    <x:r>
      <x:rPr>
        <x:sz val="10"/>
        <x:color rgb="FF1F1F1F"/>
        <x:rFont val="Arial"/>
      </x:rPr>
      <x:t xml:space="preserve">  ,  </x:t>
    </x:r>
    <x:r>
      <x:rPr>
        <x:u val="single"/>
        <x:sz val="10"/>
        <x:color rgb="FF1155CC"/>
        <x:rFont val="Arial"/>
      </x:rPr>
      <x:t xml:space="preserve">https://drive.google.com/file/d/1j-8oFo1BociX2XqsAp7l2hdMfU6WxbQn/view?usp=drive_link</x:t>
    </x:r>
    <x:r>
      <x:rPr>
        <x:u val="single"/>
        <x:sz val="10"/>
        <x:color rgb="FF1F1F1F"/>
        <x:rFont val="Arial"/>
      </x:rPr>
      <x:t xml:space="preserve"> </x:t>
    </x:r>
  </x:si>
  <x:si>
    <x:t xml:space="preserve">Кнопка «Выйти» имеет цвет #FA90E8 вместо #EFEA34</x:t>
  </x:si>
  <x:si>
    <x:t xml:space="preserve">Есть аккаунт qaleadvalid1792507594783@example.ru / QaTest123.</x:t>
  </x:si>
  <x:si>
    <x:t xml:space="preserve">1. Войти с email qaleadvalid1792507594783@example.ru и паролем QaTest123.
2. Сравнить цвета кнопок шапки с кодами в чек-листе.</x:t>
  </x:si>
  <x:si>
    <x:t xml:space="preserve">«Выйти»: #EFEA34; «Мои наборы»: #FA90E8. </x:t>
  </x:si>
  <x:si>
    <x:t xml:space="preserve">«Выйти»: #FA90E8 ; «Мои наборы»: #FA90E8. </x:t>
  </x:si>
  <x:si>
    <x:r>
      <x:rPr>
        <x:u val="single"/>
        <x:sz val="10"/>
        <x:color rgb="FF1155CC"/>
        <x:rFont val="Arial"/>
      </x:rPr>
      <x:t xml:space="preserve">https://drive.google.com/file/d/1tyrNjAhufnrt4ZRV9cCnw8FtBivq54RQ/view?usp=drive_link</x:t>
    </x:r>
    <x:r>
      <x:rPr>
        <x:sz val="10"/>
        <x:color rgb="FF1F2933"/>
        <x:rFont val="Arial"/>
      </x:rPr>
      <x:t xml:space="preserve">  </x:t>
    </x:r>
    <x:r>
      <x:rPr>
        <x:u val="single"/>
        <x:sz val="10"/>
        <x:color rgb="FF1155CC"/>
        <x:rFont val="Arial"/>
      </x:rPr>
      <x:t xml:space="preserve">https://drive.google.com/file/d/14YIe69IuNqDNSghsS9g3h9tqhEDDalTG/view?usp=drive_link</x:t>
    </x:r>
    <x:r>
      <x:rPr>
        <x:sz val="10"/>
        <x:color rgb="FF1F2933"/>
        <x:rFont val="Arial"/>
      </x:rPr>
      <x:t xml:space="preserve">  </x:t>
    </x:r>
    <x:r>
      <x:rPr>
        <x:u val="single"/>
        <x:sz val="10"/>
        <x:color rgb="FF1155CC"/>
        <x:rFont val="Arial"/>
      </x:rPr>
      <x:t xml:space="preserve">https://drive.google.com/file/d/1W0UdLrXfa5MjACZGTBef2X_MxTRXFZAl/view?usp=drive_link</x:t>
    </x:r>
    <x:r>
      <x:rPr>
        <x:sz val="10"/>
        <x:color rgb="FF1F2933"/>
        <x:rFont val="Arial"/>
      </x:rPr>
      <x:t xml:space="preserve"> </x:t>
    </x:r>
  </x:si>
  <x:si>
    <x:t xml:space="preserve">bug-10</x:t>
  </x:si>
  <x:si>
    <x:t xml:space="preserve">Заголовки главной страницы перекрывают поля регистрации</x:t>
  </x:si>
  <x:si>
    <x:t xml:space="preserve">1. На главной открыть регистрацию 2. Проверить пересечение с заголовками «Под ситуацию» / «Приготовь блюдо».</x:t>
  </x:si>
  <x:si>
    <x:t xml:space="preserve">Модальное окно и поля видны без наложения фонового содержимого.</x:t>
  </x:si>
  <x:si>
    <x:t xml:space="preserve">Заголовки и подписи главной страницы отображаются поверх полей регистрации. </x:t>
  </x:si>
  <x:si>
    <x:r>
      <x:rPr>
        <x:u val="single"/>
        <x:sz val="10"/>
        <x:color rgb="FF1155CC"/>
        <x:rFont val="Arial"/>
      </x:rPr>
      <x:t xml:space="preserve">https://drive.google.com/file/d/1KR0mrquk5dv5FTED9AAJT9thIa6sqnTv/view?usp=drive_link</x:t>
    </x:r>
    <x:r>
      <x:rPr>
        <x:sz val="10"/>
        <x:color rgb="FF1F1F1F"/>
        <x:rFont val="Arial"/>
      </x:rPr>
      <x:t xml:space="preserve"> , </x:t>
    </x:r>
    <x:r>
      <x:rPr>
        <x:u val="single"/>
        <x:sz val="10"/>
        <x:color rgb="FF1155CC"/>
        <x:rFont val="Arial"/>
      </x:rPr>
      <x:t xml:space="preserve">https://drive.google.com/file/d/1e-EAERfGTSZO3_BwEsbrQJ6MkRnWa6nq/view?usp=drive_link</x:t>
    </x:r>
    <x:r>
      <x:rPr>
        <x:sz val="10"/>
        <x:color rgb="FF1F1F1F"/>
        <x:rFont val="Arial"/>
      </x:rPr>
      <x:t xml:space="preserve"> </x:t>
    </x:r>
  </x:si>
  <x:si>
    <x:t xml:space="preserve">High</x:t>
  </x:si>
  <x:si>
    <x:t xml:space="preserve">bug-11</x:t>
  </x:si>
  <x:si>
    <x:t xml:space="preserve">Поворот экрана (альбомная ориентация и обратно)</x:t>
  </x:si>
  <x:si>
    <x:t xml:space="preserve">Установить приложение YandexPrilavok_1.0.0</x:t>
  </x:si>
  <x:si>
    <x:t xml:space="preserve">1.Включить приложение 2.Включить альбомную оруентацию</x:t>
  </x:si>
  <x:si>
    <x:t xml:space="preserve">Приложение переходит в альбомную ариентацию и адаптирует все элементы.</x:t>
  </x:si>
  <x:si>
    <x:t xml:space="preserve">После перехода в альбомную ариентацию приложение крашиться.</x:t>
  </x:si>
  <x:si>
    <x:t xml:space="preserve">emulator - 5554, Android 15, api 35</x:t>
  </x:si>
  <x:si>
    <x:r>
      <x:rPr>
        <x:u val="single"/>
        <x:sz val="10"/>
        <x:color rgb="FF1F2933"/>
        <x:rFont val="Arial"/>
      </x:rPr>
      <x:t xml:space="preserve">https://drive.google.com/file/d/1DlWWBQqHDgxKXXAXWZEWY39ioNxQ7TVX/view?usp=drive_link</x:t>
    </x:r>
    <x:r>
      <x:rPr>
        <x:sz val="10"/>
        <x:color rgb="FF1F1F1F"/>
        <x:rFont val="Arial"/>
      </x:rPr>
      <x:t xml:space="preserve">  </x:t>
    </x:r>
  </x:si>
  <x:si>
    <x:t xml:space="preserve">Critical</x:t>
  </x:si>
  <x:si>
    <x:t xml:space="preserve">bug-12</x:t>
  </x:si>
  <x:si>
    <x:t xml:space="preserve">Красные точки отображаются вместо синих в обязательных полях формы регистрации YandexPrilavok_1.0.0 сразу после её открытия с главного экрана</x:t>
  </x:si>
  <x:si>
    <x:t xml:space="preserve">1.Включить приложение 2.На главной странице снизу нажать "Зарегистрироваться"</x:t>
  </x:si>
  <x:si>
    <x:t xml:space="preserve">Появляеться форма регистрации с синими точками в каждом обязаельном поле </x:t>
  </x:si>
  <x:si>
    <x:t xml:space="preserve">Появляеться форма регистрации с красными точками в каждом обязательном поле </x:t>
  </x:si>
  <x:si>
    <x:r>
      <x:rPr>
        <x:u val="single"/>
        <x:sz val="10"/>
        <x:color rgb="FF1155CC"/>
        <x:rFont val="Arial"/>
      </x:rPr>
      <x:t xml:space="preserve">https://drive.google.com/file/d/1k4vC0DpM8l7OnV6MxUH2jUhgCm3H0_N9/view?usp=drive_link</x:t>
    </x:r>
    <x:r>
      <x:rPr>
        <x:u val="single"/>
        <x:sz val="10"/>
        <x:color rgb="FF1F1F1F"/>
        <x:rFont val="Arial"/>
      </x:rPr>
      <x:t xml:space="preserve"> </x:t>
    </x:r>
    <x:r>
      <x:rPr>
        <x:sz val="10"/>
        <x:color rgb="FF1F1F1F"/>
        <x:rFont val="Arial"/>
      </x:rPr>
      <x:t xml:space="preserve"> </x:t>
    </x:r>
    <x:r>
      <x:rPr>
        <x:u val="single"/>
        <x:sz val="10"/>
        <x:color rgb="FF1155CC"/>
        <x:rFont val="Arial"/>
      </x:rPr>
      <x:t xml:space="preserve">https://drive.google.com/file/d/1k4vC0DpM8l7OnV6MxUH2jUhgCm3H0_N9/view?usp=drive_link</x:t>
    </x:r>
    <x:r>
      <x:rPr>
        <x:sz val="10"/>
        <x:color rgb="FF1F1F1F"/>
        <x:rFont val="Arial"/>
      </x:rPr>
      <x:t xml:space="preserve"> </x:t>
    </x:r>
  </x:si>
  <x:si>
    <x:t xml:space="preserve">Таблица валидации: классы эквивалентности и граничные значения</x:t>
  </x:si>
  <x:si>
    <x:t xml:space="preserve">Объект</x:t>
  </x:si>
  <x:si>
    <x:t xml:space="preserve">Название класса</x:t>
  </x:si>
  <x:si>
    <x:t xml:space="preserve">Тип класса</x:t>
  </x:si>
  <x:si>
    <x:t xml:space="preserve">Границы</x:t>
  </x:si>
  <x:si>
    <x:t xml:space="preserve">Тестовые данные внутри класса (содержимое поля)</x:t>
  </x:si>
  <x:si>
    <x:t xml:space="preserve">Тестовые данные на границах (содержимое поля)</x:t>
  </x:si>
  <x:si>
    <x:t xml:space="preserve">Пояснение и оптимизации</x:t>
  </x:si>
  <x:si>
    <x:t xml:space="preserve">Валидный: длина 2–15</x:t>
  </x:si>
  <x:si>
    <x:t xml:space="preserve">диапазон</x:t>
  </x:si>
  <x:si>
    <x:t xml:space="preserve">2 ≤ n ≤ 15</x:t>
  </x:si>
  <x:si>
    <x:t xml:space="preserve">«АААААААА» (8 симв.)</x:t>
  </x:si>
  <x:si>
    <x:t xml:space="preserve">«АА» (2 симв.)
«ААА» (3 симв.)
«АААААААААААААА» (14 симв.)
«ААААААААААААААА» (15 симв.)</x:t>
  </x:si>
  <x:si>
    <x:t xml:space="preserve">PDF, с. 1. Значения на обеих границах и внутри допустимы по длине. Для полного прогона берём границы и один внутренний пример; повторные строки той же длины можно убрать. </x:t>
  </x:si>
  <x:si>
    <x:t xml:space="preserve">Невалидный: непустое значение короче 2</x:t>
  </x:si>
  <x:si>
    <x:t xml:space="preserve">1 ≤ n ≤ 1</x:t>
  </x:si>
  <x:si>
    <x:t xml:space="preserve">«А» (1 симв.)</x:t>
  </x:si>
  <x:si>
    <x:t xml:space="preserve">PDF, с. 1. Длина ниже минимума: поле невалидно. Пустота проверяется отдельно. Достаточно ближайшего значения 1; остальные короткие строки избыточны.</x:t>
  </x:si>
  <x:si>
    <x:t xml:space="preserve">Невалидный: длина больше 15</x:t>
  </x:si>
  <x:si>
    <x:t xml:space="preserve">n ≥ 16</x:t>
  </x:si>
  <x:si>
    <x:t xml:space="preserve">«АААААААААААААААААА» (18 симв.)</x:t>
  </x:si>
  <x:si>
    <x:t xml:space="preserve">«АААААААААААААААА» (16 симв.)</x:t>
  </x:si>
  <x:si>
    <x:t xml:space="preserve">PDF, с. 1. Значение сверх максимума невалидно. 16 — минимальный достаточный выход за предел; длинный внутренний пример можно исключить. Механизм ограничения ввода не задан (R12).</x:t>
  </x:si>
  <x:si>
    <x:t xml:space="preserve">Невалидный: обязательное поле пустое</x:t>
  </x:si>
  <x:si>
    <x:t xml:space="preserve">набор</x:t>
  </x:si>
  <x:si>
    <x:t xml:space="preserve">Числовых границ нет</x:t>
  </x:si>
  <x:si>
    <x:t xml:space="preserve">"" (пустое поле) (0 симв.)</x:t>
  </x:si>
  <x:si>
    <x:t xml:space="preserve">Не применимо: набор</x:t>
  </x:si>
  <x:si>
    <x:t xml:space="preserve">PDF, с. 1. Пустота запрещена. Один пример достаточен; пробелы не заменяют эту проверку.</x:t>
  </x:si>
  <x:si>
    <x:t xml:space="preserve">Валидный: русские буквы</x:t>
  </x:si>
  <x:si>
    <x:t xml:space="preserve">«Анна» (4 симв.)</x:t>
  </x:si>
  <x:si>
    <x:t xml:space="preserve">PDF, с. 1. Допустимый алфавит, длина в пределах 2–15. Один представитель проверяет этот вариант; перестановки тех же символов не нужны.</x:t>
  </x:si>
  <x:si>
    <x:t xml:space="preserve">Валидный: английские буквы</x:t>
  </x:si>
  <x:si>
    <x:t xml:space="preserve">«Alice» (5 симв.)</x:t>
  </x:si>
  <x:si>
    <x:t xml:space="preserve">Валидный: буква Ё/ё</x:t>
  </x:si>
  <x:si>
    <x:t xml:space="preserve">«Ёлёна» (5 симв.)</x:t>
  </x:si>
  <x:si>
    <x:t xml:space="preserve">Валидный: пробел</x:t>
  </x:si>
  <x:si>
    <x:t xml:space="preserve">«Анна Мария» (10 симв.)</x:t>
  </x:si>
  <x:si>
    <x:t xml:space="preserve">Валидный: дефис</x:t>
  </x:si>
  <x:si>
    <x:t xml:space="preserve">«Анна-Мария» (10 симв.)</x:t>
  </x:si>
  <x:si>
    <x:t xml:space="preserve">Невалидный: цифра</x:t>
  </x:si>
  <x:si>
    <x:t xml:space="preserve">«Анна1» (5 симв.)</x:t>
  </x:si>
  <x:si>
    <x:t xml:space="preserve">PDF, с. 1. В строке допустимой длины один запрещённый тип символа. Замена всех остальных символов не нужна; ошибка выделена отдельно от длины.</x:t>
  </x:si>
  <x:si>
    <x:t xml:space="preserve">Невалидный: восклицательный знак</x:t>
  </x:si>
  <x:si>
    <x:t xml:space="preserve">«Анна!» (5 симв.)</x:t>
  </x:si>
  <x:si>
    <x:t xml:space="preserve">PDF, с. 1. Знак «!» отсутствует в перечне символов поля «Имя». Длина примера 5 символов; проверяется состав, а не длина.</x:t>
  </x:si>
  <x:si>
    <x:t xml:space="preserve">Невалидный: буква другого алфавита</x:t>
  </x:si>
  <x:si>
    <x:t xml:space="preserve">«André» (5 симв.)</x:t>
  </x:si>
  <x:si>
    <x:t xml:space="preserve">Только дефисы без букв: требуется уточнение</x:t>
  </x:si>
  <x:si>
    <x:t xml:space="preserve">«--» (2 симв.)</x:t>
  </x:si>
  <x:si>
    <x:t xml:space="preserve">PDF разрешает дефис и длину 2–15. Требование о наличии хотя бы одной буквы не задано; решение для «--» требует ответа .</x:t>
  </x:si>
  <x:si>
    <x:t xml:space="preserve">Валидный: длина 10–12</x:t>
  </x:si>
  <x:si>
    <x:t xml:space="preserve">10 ≤ n ≤ 12</x:t>
  </x:si>
  <x:si>
    <x:t xml:space="preserve">«71111111111» (11 симв.)</x:t>
  </x:si>
  <x:si>
    <x:t xml:space="preserve">«7111111111» (10 симв.)
«71111111111» (11 симв.)
«711111111111» (12 симв.)</x:t>
  </x:si>
  <x:si>
    <x:t xml:space="preserve">PDF, с. 1. Значения на обеих границах и внутри допустимы по длине. Для полного прогона берём границы и один внутренний пример; повторные строки той же длины можно убрать.</x:t>
  </x:si>
  <x:si>
    <x:t xml:space="preserve">Невалидный: непустое значение короче 10</x:t>
  </x:si>
  <x:si>
    <x:t xml:space="preserve">1 ≤ n ≤ 9</x:t>
  </x:si>
  <x:si>
    <x:t xml:space="preserve">«71111111» (8 симв.)</x:t>
  </x:si>
  <x:si>
    <x:t xml:space="preserve">«711111111» (9 симв.)</x:t>
  </x:si>
  <x:si>
    <x:t xml:space="preserve">PDF, с. 1. Длина ниже минимума: поле невалидно. Пустота проверяется отдельно. Достаточно ближайшего значения 9; остальные короткие строки избыточны.</x:t>
  </x:si>
  <x:si>
    <x:t xml:space="preserve">Невалидный: длина больше 12</x:t>
  </x:si>
  <x:si>
    <x:t xml:space="preserve">n ≥ 13</x:t>
  </x:si>
  <x:si>
    <x:t xml:space="preserve">«711111111111111» (15 симв.)</x:t>
  </x:si>
  <x:si>
    <x:t xml:space="preserve">«7111111111111» (13 симв.)</x:t>
  </x:si>
  <x:si>
    <x:t xml:space="preserve">PDF, с. 1. Значение сверх максимума невалидно. 13 — минимальный достаточный выход за предел; длинный внутренний пример можно исключить. Механизм ограничения ввода не задан (R12).</x:t>
  </x:si>
  <x:si>
    <x:t xml:space="preserve">Валидный по составу: знак +</x:t>
  </x:si>
  <x:si>
    <x:t xml:space="preserve">«+79011233212» (12 симв.)</x:t>
  </x:si>
  <x:si>
    <x:t xml:space="preserve">PDF, с. 1 разрешает знак «+». Этот КЭ проверяет его наличие в составе строки. Обязательность, количество и положение «+» уточняются в R02; длина проверяется отдельными диапазонами.</x:t>
  </x:si>
  <x:si>
    <x:t xml:space="preserve">Невалидный: латинская буква</x:t>
  </x:si>
  <x:si>
    <x:t xml:space="preserve">«7901123321A» (11 симв.)</x:t>
  </x:si>
  <x:si>
    <x:t xml:space="preserve">PDF, с. 1. Длина 10–12, нарушен только разрешённый алфавит. По одному примеру на тип ввода; повторные позиции того же символа не нужны.</x:t>
  </x:si>
  <x:si>
    <x:t xml:space="preserve">Невалидный: русская буква</x:t>
  </x:si>
  <x:si>
    <x:t xml:space="preserve">«7901123321Я» (11 симв.)</x:t>
  </x:si>
  <x:si>
    <x:t xml:space="preserve">Невалидный: пробел</x:t>
  </x:si>
  <x:si>
    <x:t xml:space="preserve">«79011 33212» (11 симв.)</x:t>
  </x:si>
  <x:si>
    <x:t xml:space="preserve">Невалидный: дефис</x:t>
  </x:si>
  <x:si>
    <x:t xml:space="preserve">«79011-33212» (11 симв.)</x:t>
  </x:si>
  <x:si>
    <x:t xml:space="preserve">Невалидный: скобки</x:t>
  </x:si>
  <x:si>
    <x:t xml:space="preserve">«7(901)23312» (11 симв.)</x:t>
  </x:si>
  <x:si>
    <x:t xml:space="preserve">Невалидный: плюс не в начале</x:t>
  </x:si>
  <x:si>
    <x:t xml:space="preserve">«7901123321+» (11 симв.)</x:t>
  </x:si>
  <x:si>
    <x:t xml:space="preserve">R02: условная проверка количества/позиции плюса. Длина допустима; по буквальному PDF такие символы разрешены. Невалидность только после согласования R02.</x:t>
  </x:si>
  <x:si>
    <x:t xml:space="preserve">Невалидный: несколько плюсов</x:t>
  </x:si>
  <x:si>
    <x:t xml:space="preserve">«++790112332» (11 симв.)</x:t>
  </x:si>
  <x:si>
    <x:t xml:space="preserve">Валидный: длина 5–50</x:t>
  </x:si>
  <x:si>
    <x:t xml:space="preserve">5 ≤ n ≤ 50</x:t>
  </x:si>
  <x:si>
    <x:t xml:space="preserve">«aaaaaaaaaaaaaaaaaaaaaaa@b.c» (27 симв.)</x:t>
  </x:si>
  <x:si>
    <x:t xml:space="preserve">«a@b.c» (5 симв.)
«aa@b.c» (6 симв.)
«aaaaaaaaaaaaaaaaaaaaaaaaaaaaaaaaaaaaaaaaaaaaa@b.c» (49 симв.)
«aaaaaaaaaaaaaaaaaaaaaaaaaaaaaaaaaaaaaaaaaaaaaa@b.c» (50 симв.)</x:t>
  </x:si>
  <x:si>
    <x:t xml:space="preserve">PDF, с. 1; минимальная структура — R03. Значения на обеих границах и внутри допустимы по длине. Для полного прогона берём границы и один внутренний пример; повторные строки той же длины можно убрать.</x:t>
  </x:si>
  <x:si>
    <x:t xml:space="preserve">Невалидный: непустое значение короче 5</x:t>
  </x:si>
  <x:si>
    <x:t xml:space="preserve">1 ≤ n ≤ 4</x:t>
  </x:si>
  <x:si>
    <x:t xml:space="preserve">«a@b» (3 симв.)</x:t>
  </x:si>
  <x:si>
    <x:t xml:space="preserve">«a@bc» (4 симв.)</x:t>
  </x:si>
  <x:si>
    <x:t xml:space="preserve">PDF, с. 1: 3 и 4 символа меньше 5. Оба примера имеют @ и непустые части (R03). Правило обязательной точки домена не вводилось. Достаточно 4 символов.</x:t>
  </x:si>
  <x:si>
    <x:t xml:space="preserve">Невалидный: длина больше 50</x:t>
  </x:si>
  <x:si>
    <x:t xml:space="preserve">n ≥ 51</x:t>
  </x:si>
  <x:si>
    <x:t xml:space="preserve">«aaaaaaaaaaaaaaaaaaaaaaaaaaaaaaaaaaaaaaaaaaaaaaaaa@b.c» (53 симв.)</x:t>
  </x:si>
  <x:si>
    <x:t xml:space="preserve">«aaaaaaaaaaaaaaaaaaaaaaaaaaaaaaaaaaaaaaaaaaaaaaa@b.c» (51 симв.)</x:t>
  </x:si>
  <x:si>
    <x:t xml:space="preserve">PDF, с. 1; минимальная структура — R03. Значение сверх максимума невалидно. 51 — минимальный достаточный выход за предел; длинный внутренний пример можно исключить. Механизм ограничения ввода не задан (R12).</x:t>
  </x:si>
  <x:si>
    <x:t xml:space="preserve">PDF, с. 1; минимальная структура — R03. Пустота запрещена. Один пример достаточен; пробелы не заменяют эту проверку.</x:t>
  </x:si>
  <x:si>
    <x:t xml:space="preserve">«alice@example.ru» (16 симв.)</x:t>
  </x:si>
  <x:si>
    <x:t xml:space="preserve">PDF, с. 1. Проверяются английские буквы; @ и точка сохраняют структуру email и не являются отдельной целью этого класса.</x:t>
  </x:si>
  <x:si>
    <x:t xml:space="preserve">Валидный: знак @</x:t>
  </x:si>
  <x:si>
    <x:t xml:space="preserve">PDF, с. 1. Проверяется знак @; остальные символы входят в заданный перечень. Правила структуры адреса отдельно отмечены в R03.</x:t>
  </x:si>
  <x:si>
    <x:t xml:space="preserve">Валидный: цифры в адресе</x:t>
  </x:si>
  <x:si>
    <x:t xml:space="preserve">«user1@example.ru» (16 симв.)</x:t>
  </x:si>
  <x:si>
    <x:t xml:space="preserve">PDF, с. 1; для структуры R03, для дефиса R11. Один пример на вариант алфавита; дополнительные строки с тем же составом избыточны.</x:t>
  </x:si>
  <x:si>
    <x:t xml:space="preserve">Валидный: точка внутри локальной части</x:t>
  </x:si>
  <x:si>
    <x:t xml:space="preserve">«user.name@example.ru» (20 симв.)</x:t>
  </x:si>
  <x:si>
    <x:t xml:space="preserve">Валидный: дефис внутри локальной части</x:t>
  </x:si>
  <x:si>
    <x:t xml:space="preserve">«user-name@example.ru» (20 симв.)</x:t>
  </x:si>
  <x:si>
    <x:t xml:space="preserve">«юзер@example.ru» (15 симв.)</x:t>
  </x:si>
  <x:si>
    <x:t xml:space="preserve">PDF, с. 1. Этот символ отсутствует в разрешённом алфавите, даже если обычные почтовые сервисы его поддерживают. Остальная структура и длина допустимы.</x:t>
  </x:si>
  <x:si>
    <x:t xml:space="preserve">Невалидный: подчёркивание</x:t>
  </x:si>
  <x:si>
    <x:t xml:space="preserve">«user_name@example.ru» (20 симв.)</x:t>
  </x:si>
  <x:si>
    <x:t xml:space="preserve">Невалидный: плюс</x:t>
  </x:si>
  <x:si>
    <x:t xml:space="preserve">«user+tag@example.ru» (19 симв.)</x:t>
  </x:si>
  <x:si>
    <x:t xml:space="preserve">«user name@example.ru» (20 симв.)</x:t>
  </x:si>
  <x:si>
    <x:t xml:space="preserve">невалидный: нет @</x:t>
  </x:si>
  <x:si>
    <x:t xml:space="preserve">«user.example.ru» (15 симв.)</x:t>
  </x:si>
  <x:si>
    <x:t xml:space="preserve">R03: рабочее допущение минимальной структуры. Исходные длина и алфавит соблюдены. Один пример из данного класса достаточен; до согласования это не утверждённый дефект.</x:t>
  </x:si>
  <x:si>
    <x:t xml:space="preserve"> невалидный: два @</x:t>
  </x:si>
  <x:si>
    <x:t xml:space="preserve">«user@@example.ru» (16 симв.)</x:t>
  </x:si>
  <x:si>
    <x:t xml:space="preserve"> невалидный: нет части перед @</x:t>
  </x:si>
  <x:si>
    <x:t xml:space="preserve">«@example.ru» (11 симв.)</x:t>
  </x:si>
  <x:si>
    <x:t xml:space="preserve">невалидный: нет части после @</x:t>
  </x:si>
  <x:si>
    <x:t xml:space="preserve">«username@» (9 симв.)</x:t>
  </x:si>
  <x:si>
    <x:t xml:space="preserve"> невалидный: длинное тире U+2014</x:t>
  </x:si>
  <x:si>
    <x:t xml:space="preserve">«user—name@example.ru» (20 симв.)</x:t>
  </x:si>
  <x:si>
    <x:t xml:space="preserve">R11: рабочее допущение о разрешённом U+002D. Длина допустима. Достаточно одного длинного тире на поле; до согласования это не утверждённое ограничение.</x:t>
  </x:si>
  <x:si>
    <x:t xml:space="preserve">Валидный: длина 8–20</x:t>
  </x:si>
  <x:si>
    <x:t xml:space="preserve">8 ≤ n ≤ 20</x:t>
  </x:si>
  <x:si>
    <x:t xml:space="preserve">«A1111111111111» (14 симв.)</x:t>
  </x:si>
  <x:si>
    <x:t xml:space="preserve">«A1111111» (8 симв.)
«A11111111» (9 симв.)
«A111111111111111111» (19 симв.)
«A1111111111111111111» (20 симв.)</x:t>
  </x:si>
  <x:si>
    <x:t xml:space="preserve">PDF, с. 2. Значения на обеих границах и внутри допустимы по длине. Для полного прогона берём границы и один внутренний пример; повторные строки той же длины можно убрать.</x:t>
  </x:si>
  <x:si>
    <x:t xml:space="preserve">Невалидный: непустое значение короче 8</x:t>
  </x:si>
  <x:si>
    <x:t xml:space="preserve">1 ≤ n ≤ 7</x:t>
  </x:si>
  <x:si>
    <x:t xml:space="preserve">«A11111» (6 симв.)</x:t>
  </x:si>
  <x:si>
    <x:t xml:space="preserve">«A111111» (7 симв.)</x:t>
  </x:si>
  <x:si>
    <x:t xml:space="preserve">PDF, с. 2. Длина ниже минимума: поле невалидно. Пустота проверяется отдельно. Достаточно ближайшего значения 7; остальные короткие строки избыточны.</x:t>
  </x:si>
  <x:si>
    <x:t xml:space="preserve">Невалидный: длина больше 20</x:t>
  </x:si>
  <x:si>
    <x:t xml:space="preserve">n ≥ 21</x:t>
  </x:si>
  <x:si>
    <x:t xml:space="preserve">«A1111111111111111111111» (23 симв.)</x:t>
  </x:si>
  <x:si>
    <x:t xml:space="preserve">«A11111111111111111111» (21 симв.)</x:t>
  </x:si>
  <x:si>
    <x:t xml:space="preserve">PDF, с. 2. Значение сверх максимума невалидно. 21 — минимальный достаточный выход за предел; длинный внутренний пример можно исключить. Механизм ограничения ввода не задан (R12).</x:t>
  </x:si>
  <x:si>
    <x:t xml:space="preserve">PDF, с. 2. Пустота запрещена. Один пример достаточен; пробелы не заменяют эту проверку.</x:t>
  </x:si>
  <x:si>
    <x:t xml:space="preserve">Валидный: цифры</x:t>
  </x:si>
  <x:si>
    <x:t xml:space="preserve">«Abcd1234» (8 симв.)</x:t>
  </x:si>
  <x:si>
    <x:t xml:space="preserve">PDF, с. 2. Проверяется наличие цифр. Английские буквы в примере обеспечивают обязательное условие пароля; длина 8 символов.</x:t>
  </x:si>
  <x:si>
    <x:t xml:space="preserve">Валидный: пунктуация</x:t>
  </x:si>
  <x:si>
    <x:t xml:space="preserve">«Abcd123!» (8 симв.)</x:t>
  </x:si>
  <x:si>
    <x:t xml:space="preserve">PDF, с. 2; точный набор спецсимволов — допущение R05. Требуется хотя бы одна буква и цифра, но не оба регистра и не обязательный спецсимвол. Одного примера на вариант достаточно.</x:t>
  </x:si>
  <x:si>
    <x:t xml:space="preserve">Валидный: спецсимвол</x:t>
  </x:si>
  <x:si>
    <x:t xml:space="preserve">«Abcd123@» (8 симв.)</x:t>
  </x:si>
  <x:si>
    <x:t xml:space="preserve">Валидный: строчные английские буквы</x:t>
  </x:si>
  <x:si>
    <x:t xml:space="preserve">«abcd1234» (8 симв.)</x:t>
  </x:si>
  <x:si>
    <x:t xml:space="preserve">PDF, с. 2. Проверяется ввод строчных английских букв. Цифры сохраняют обязательный состав пароля; длина 8 символов.</x:t>
  </x:si>
  <x:si>
    <x:t xml:space="preserve">Валидный: прописные английские буквы</x:t>
  </x:si>
  <x:si>
    <x:t xml:space="preserve">«ABCD1234» (8 симв.)</x:t>
  </x:si>
  <x:si>
    <x:t xml:space="preserve">PDF, с. 2. Проверяется ввод прописных английских букв. Цифры сохраняют обязательный состав пароля; длина 8 символов.</x:t>
  </x:si>
  <x:si>
    <x:t xml:space="preserve">Невалидный: нет цифры</x:t>
  </x:si>
  <x:si>
    <x:t xml:space="preserve">«Abcdefgh» (8 симв.)</x:t>
  </x:si>
  <x:si>
    <x:t xml:space="preserve">PDF, с. 2. Длина и буквы допустимы, отсутствует только цифра. Другие слова без цифр дублируют проверку.</x:t>
  </x:si>
  <x:si>
    <x:t xml:space="preserve">Невалидный: нет английской буквы</x:t>
  </x:si>
  <x:si>
    <x:t xml:space="preserve">«12345678» (8 симв.)</x:t>
  </x:si>
  <x:si>
    <x:t xml:space="preserve">PDF, с. 2. Длина и цифры допустимы, отсутствует только буква. Второй цифровой пароль не нужен.</x:t>
  </x:si>
  <x:si>
    <x:t xml:space="preserve">«Abcd123Я» (8 симв.)</x:t>
  </x:si>
  <x:si>
    <x:t xml:space="preserve">PDF, с. 2. При допустимой длине уже есть английская буква и цифра; добавлена запрещённая русская буква. Так не смешиваются две причины отказа.</x:t>
  </x:si>
  <x:si>
    <x:t xml:space="preserve">невалидный: пробел</x:t>
  </x:si>
  <x:si>
    <x:t xml:space="preserve">«Abcd 123» (8 симв.)</x:t>
  </x:si>
  <x:si>
    <x:t xml:space="preserve">R05: рабочее допущение точного алфавита. Буква и цифра присутствуют, длина внутри диапазона. До согласования не фиксировать дефект только на этом основании.</x:t>
  </x:si>
  <x:si>
    <x:t xml:space="preserve"> невалидный: emoji</x:t>
  </x:si>
  <x:si>
    <x:t xml:space="preserve">«Abcd123😀» (8 симв.)</x:t>
  </x:si>
  <x:si>
    <x:t xml:space="preserve">невалидный: управляющий символ</x:t>
  </x:si>
  <x:si>
    <x:t xml:space="preserve">Abcd\t123 (между d и 1 — один TAB, не два символа \ и t)</x:t>
  </x:si>
  <x:si>
    <x:t xml:space="preserve">R05: рабочее допущение. Вставить именно табуляцию; ожидается недопустимое значение. Один управляющий символ достаточен для базового КЭ; остальные — расширение.</x:t>
  </x:si>
  <x:si>
    <x:t xml:space="preserve">Адрес доставки</x:t>
  </x:si>
  <x:si>
    <x:t xml:space="preserve">«ААААААААААААААААААААААААААА» (27 симв.)</x:t>
  </x:si>
  <x:si>
    <x:t xml:space="preserve">«ААААА» (5 симв.)
«АААААА» (6 симв.)
«ААААААААААААААААААААААААААААААААААААААААААААААААА» (49 симв.)
«АААААААААААААААААААААААААААААААААААААААААААААААААА» (50 симв.)</x:t>
  </x:si>
  <x:si>
    <x:t xml:space="preserve">PDF, с. 2; область применения — R08. Значения на обеих границах и внутри допустимы по длине. Для полного прогона берём границы и один внутренний пример; повторные строки той же длины можно убрать.</x:t>
  </x:si>
  <x:si>
    <x:t xml:space="preserve">«ААА» (3 симв.)</x:t>
  </x:si>
  <x:si>
    <x:t xml:space="preserve">«АААА» (4 симв.)</x:t>
  </x:si>
  <x:si>
    <x:t xml:space="preserve">PDF, с. 2; область применения — R08. Длина ниже минимума: поле невалидно. Пустота проверяется отдельно. Достаточно ближайшего значения 4; остальные короткие строки избыточны.</x:t>
  </x:si>
  <x:si>
    <x:t xml:space="preserve">«ААААААААААААААААААААААААААААААААААААААААААААААААААААА» (53 симв.)</x:t>
  </x:si>
  <x:si>
    <x:t xml:space="preserve">«ААААААААААААААААААААААААААААААААААААААААААААААААААА» (51 симв.)</x:t>
  </x:si>
  <x:si>
    <x:t xml:space="preserve">PDF, с. 2; область применения — R08. Значение сверх максимума невалидно. 51 — минимальный достаточный выход за предел; длинный внутренний пример можно исключить. Механизм ограничения ввода не задан (R12).</x:t>
  </x:si>
  <x:si>
    <x:t xml:space="preserve">PDF, с. 2; область применения — R08. Пустота запрещена. Один пример достаточен; пробелы не заменяют эту проверку.</x:t>
  </x:si>
  <x:si>
    <x:t xml:space="preserve">«Москва» (6 симв.)</x:t>
  </x:si>
  <x:si>
    <x:t xml:space="preserve">PDF, с. 2. Один класс русских букв, без объединения с пробелами. Длина 6 символов.</x:t>
  </x:si>
  <x:si>
    <x:t xml:space="preserve">«улица Мира» (10 симв.)</x:t>
  </x:si>
  <x:si>
    <x:t xml:space="preserve">PDF, с. 2. Проверяется символ пробела; русские буквы — основа примера. Расположение и автоматическое удаление пробелов не выделяются в КЭ.</x:t>
  </x:si>
  <x:si>
    <x:t xml:space="preserve">«123456» (6 симв.)</x:t>
  </x:si>
  <x:si>
    <x:t xml:space="preserve">PDF, с. 2. Отдельный класс: цифры. Длина в пределах 5–50; остальные типы символов не объединены в название этого класса.</x:t>
  </x:si>
  <x:si>
    <x:t xml:space="preserve">Валидный: точка</x:t>
  </x:si>
  <x:si>
    <x:t xml:space="preserve">«улица.Мира» (10 симв.)</x:t>
  </x:si>
  <x:si>
    <x:t xml:space="preserve">PDF, с. 2. Отдельный класс: точка. Длина в пределах 5–50; остальные типы символов не объединены в название этого класса.</x:t>
  </x:si>
  <x:si>
    <x:t xml:space="preserve">Валидный: запятая</x:t>
  </x:si>
  <x:si>
    <x:t xml:space="preserve">«улица,Мира» (10 симв.)</x:t>
  </x:si>
  <x:si>
    <x:t xml:space="preserve">PDF, с. 2. Отдельный класс: запятая. Длина в пределах 5–50; остальные типы символов не объединены в название этого класса.</x:t>
  </x:si>
  <x:si>
    <x:t xml:space="preserve">«ул. Северо-Западная, 1» (22 симв.)</x:t>
  </x:si>
  <x:si>
    <x:t xml:space="preserve">PDF, с. 2; поле улица/дом/квартира — допущение R08, дефис — R11. Допустимость состава не означает проверку реальности адреса: такой проверки в требованиях нет.</x:t>
  </x:si>
  <x:si>
    <x:t xml:space="preserve">«ул. Ёлочная, 1» (14 симв.)</x:t>
  </x:si>
  <x:si>
    <x:t xml:space="preserve">Невалидный: английская буква</x:t>
  </x:si>
  <x:si>
    <x:t xml:space="preserve">«ул. Mira, 1» (11 симв.)</x:t>
  </x:si>
  <x:si>
    <x:t xml:space="preserve">PDF, с. 2. Длина допустима; проверяется один символ вне разрешённого алфавита. Не расширяем алфавит ради привычного написания адреса.</x:t>
  </x:si>
  <x:si>
    <x:t xml:space="preserve">Невалидный: косая черта</x:t>
  </x:si>
  <x:si>
    <x:t xml:space="preserve">«ул. Мира, 1/2» (13 симв.)</x:t>
  </x:si>
  <x:si>
    <x:t xml:space="preserve">Невалидный: двоеточие</x:t>
  </x:si>
  <x:si>
    <x:t xml:space="preserve">«ул. Мира: 1» (11 симв.)</x:t>
  </x:si>
  <x:si>
    <x:t xml:space="preserve">Невалидный: знак номера</x:t>
  </x:si>
  <x:si>
    <x:t xml:space="preserve">«ул. Мира, №1» (12 симв.)</x:t>
  </x:si>
  <x:si>
    <x:t xml:space="preserve">невалидный: длинное тире U+2014</x:t>
  </x:si>
  <x:si>
    <x:t xml:space="preserve">«ул. Северо—Западная» (19 симв.)</x:t>
  </x:si>
  <x:si>
    <x:t xml:space="preserve">Валидный: непустой комментарий до 24</x:t>
  </x:si>
  <x:si>
    <x:t xml:space="preserve">1 ≤ n ≤ 24</x:t>
  </x:si>
  <x:si>
    <x:t xml:space="preserve">«Позвоните заранее» (17 симв.)</x:t>
  </x:si>
  <x:si>
    <x:t xml:space="preserve">«А» (1 симв.)
«АА» (2 симв.)
«ААААААААААААААААААААААА» (23 симв.)
«АААААААААААААААААААААААА» (24 симв.)</x:t>
  </x:si>
  <x:si>
    <x:t xml:space="preserve">PDF, с. 2. Нижний предел для непустого значения — 1, поле необязательное. 23/24 проверяют максимум, 1/2 — начало непустого класса. Пустота проверяется отдельно.</x:t>
  </x:si>
  <x:si>
    <x:t xml:space="preserve">Невалидный: длина больше 24</x:t>
  </x:si>
  <x:si>
    <x:t xml:space="preserve">n ≥ 25</x:t>
  </x:si>
  <x:si>
    <x:t xml:space="preserve">«АААААААААААААААААААААААААААААА» (30 симв.)</x:t>
  </x:si>
  <x:si>
    <x:t xml:space="preserve">«ААААААААААААААААААААААААА» (25 симв.)</x:t>
  </x:si>
  <x:si>
    <x:t xml:space="preserve">PDF, с. 2. 25 — ближайшее превышение. Достаточно 25; 30 можно убрать. Механизм блокировки/обрезки не задан (R12).</x:t>
  </x:si>
  <x:si>
    <x:t xml:space="preserve">Валидный: необязательное поле пустое</x:t>
  </x:si>
  <x:si>
    <x:t xml:space="preserve">PDF, с. 2. Регистрация допустима без комментария при валидных обязательных полях. Один пример достаточен; пустой JSON и отсутствие ключа не относятся к этой UI-таблице.</x:t>
  </x:si>
  <x:si>
    <x:t xml:space="preserve">«Позвоните» (9 симв.)</x:t>
  </x:si>
  <x:si>
    <x:t xml:space="preserve">PDF, с. 2; дефис — R11. Содержимое допустимо и не превышает 24. По одному примеру на вариант; дополнительные слова того же состава не нужны.</x:t>
  </x:si>
  <x:si>
    <x:t xml:space="preserve">PDF, с. 2. Проверяется ввод цифр, отдельно от пробела и русских букв. Длина не превышает 24.</x:t>
  </x:si>
  <x:si>
    <x:t xml:space="preserve">«Позвоните.» (10 симв.)</x:t>
  </x:si>
  <x:si>
    <x:t xml:space="preserve">PDF, с. 2. Отдельный класс: точка. Русские буквы — основа примера; длина не превышает 24.</x:t>
  </x:si>
  <x:si>
    <x:t xml:space="preserve">«Позвоните,пожалуйста» (20 симв.)</x:t>
  </x:si>
  <x:si>
    <x:t xml:space="preserve">PDF, с. 2. Отдельный класс: запятая. Русские буквы — основа примера; длина не превышает 24.</x:t>
  </x:si>
  <x:si>
    <x:t xml:space="preserve">«Вход с юго-запада» (17 симв.)</x:t>
  </x:si>
  <x:si>
    <x:t xml:space="preserve">«Ёлка у входа» (12 симв.)</x:t>
  </x:si>
  <x:si>
    <x:t xml:space="preserve">Невалидный: английские буквы</x:t>
  </x:si>
  <x:si>
    <x:t xml:space="preserve">«Call me» (7 симв.)</x:t>
  </x:si>
  <x:si>
    <x:t xml:space="preserve">PDF, с. 2. Длина допустима, нарушен только алфавит. Одного представителя достаточно; не смешивать с превышением 24.</x:t>
  </x:si>
  <x:si>
    <x:t xml:space="preserve">«Позвоните!» (10 симв.)</x:t>
  </x:si>
  <x:si>
    <x:t xml:space="preserve">«Дом 1/2» (7 симв.)</x:t>
  </x:si>
  <x:si>
    <x:t xml:space="preserve">«Позвоните утром» (15 симв.)</x:t>
  </x:si>
  <x:si>
    <x:t xml:space="preserve">PDF, с. 2 разрешает пробел. Проверяется этот тип символа, без выделения его положения и без проверки автоматического удаления.</x:t>
  </x:si>
  <x:si>
    <x:t xml:space="preserve">«Северо—запад» (12 симв.)</x:t>
  </x:si>
  <x:si>
    <x:t xml:space="preserve">Мобильное тестирование — опционально</x:t>
  </x:si>
  <x:si>
    <x:t xml:space="preserve">Макеты интерфейса</x:t>
  </x:si>
  <x:si>
    <x:t xml:space="preserve">https://www.figma.com/design/CLHnTSsOLTJiSJQl7TUNnd/Prilavok?node-id=0-1</x:t>
  </x:si>
  <x:si>
    <x:t xml:space="preserve">Сценарий проверки</x:t>
  </x:si>
  <x:si>
    <x:t xml:space="preserve">Статус</x:t>
  </x:si>
  <x:si>
    <x:t xml:space="preserve">Ссылка на баг-репорт / причина Blocked</x:t>
  </x:si>
  <x:si>
    <x:t xml:space="preserve">ТС01</x:t>
  </x:si>
  <x:si>
    <x:t xml:space="preserve">Установка APK на эмулятор</x:t>
  </x:si>
  <x:si>
    <x:t xml:space="preserve">Файл успешно устанавливается, иконка приложения появляется на рабочем столе эмулятора</x:t>
  </x:si>
  <x:si>
    <x:t xml:space="preserve">ТС02</x:t>
  </x:si>
  <x:si>
    <x:t xml:space="preserve">Запуск приложения</x:t>
  </x:si>
  <x:si>
    <x:t xml:space="preserve">Приложение открывается без ошибок, не крашится на старте</x:t>
  </x:si>
  <x:si>
    <x:t xml:space="preserve">ТС03</x:t>
  </x:si>
  <x:si>
    <x:t xml:space="preserve">Отображение главного экрана</x:t>
  </x:si>
  <x:si>
    <x:t xml:space="preserve">Элементы интерфейса видны и не перекрывают друг друга</x:t>
  </x:si>
  <x:si>
    <x:t xml:space="preserve">ТС04</x:t>
  </x:si>
  <x:si>
    <x:t xml:space="preserve">Данные не сбрасываются, интерфейс перестраивается корректно</x:t>
  </x:si>
  <x:si>
    <x:t xml:space="preserve">ТС05</x:t>
  </x:si>
  <x:si>
    <x:t xml:space="preserve">Сворачивание и разворачивание приложения</x:t>
  </x:si>
  <x:si>
    <x:t xml:space="preserve">При возврате из фона состояние сохраняется, краш не происходит</x:t>
  </x:si>
  <x:si>
    <x:t xml:space="preserve">ТС06</x:t>
  </x:si>
  <x:si>
    <x:t xml:space="preserve">Имитация входящего звонка (через панель эмулятора)</x:t>
  </x:si>
  <x:si>
    <x:t xml:space="preserve">Приложение уходит на задний план, после завершения звонка восстанавливается, не падает</x:t>
  </x:si>
  <x:si>
    <x:t xml:space="preserve">ТС07</x:t>
  </x:si>
  <x:si>
    <x:t xml:space="preserve">Имитация входящего SMS (через панель эмулятора)</x:t>
  </x:si>
  <x:si>
    <x:t xml:space="preserve">Приложение не крашится, уведомление появляется, приложение остаётся активным</x:t>
  </x:si>
  <x:si>
    <x:t xml:space="preserve">ТС08</x:t>
  </x:si>
  <x:si>
    <x:t xml:space="preserve">Перевод в режим полета \ Отключение режима полёта</x:t>
  </x:si>
  <x:si>
    <x:t xml:space="preserve">Приложение не падает, показывает ошибку «Нет соединения»</x:t>
  </x:si>
  <x:si>
    <x:t xml:space="preserve">ТС09</x:t>
  </x:si>
  <x:si>
    <x:t xml:space="preserve">Отключение Wi-Fi / мобильных данных (через панель эмулятора)</x:t>
  </x:si>
  <x:si>
    <x:t xml:space="preserve">Приложение показывает ошибку «Нет соединения» или аналогичное сообщение, не падает</x:t>
  </x:si>
  <x:si>
    <x:t xml:space="preserve">Итоговая сводка </x:t>
  </x:si>
  <x:si>
    <x:t xml:space="preserve">Отчёт по тестированию</x:t>
  </x:si>
  <x:si>
    <x:t xml:space="preserve">Дата</x:t>
  </x:si>
  <x:si>
    <x:t xml:space="preserve">Версия</x:t>
  </x:si>
  <x:si>
    <x:t xml:space="preserve">2.0.1</x:t>
  </x:si>
  <x:si>
    <x:t xml:space="preserve">Выполнено прогонов по веб-плану</x:t>
  </x:si>
  <x:si>
    <x:t xml:space="preserve">Blocked</x:t>
  </x:si>
  <x:si>
    <x:t xml:space="preserve">Skipped</x:t>
  </x:si>
  <x:si>
    <x:t xml:space="preserve">Критичные баги</x:t>
  </x:si>
  <x:si>
    <x:t xml:space="preserve">1 баг уровня Critical: bug-11 — YandexPrilavok_1.0.0 закрывается при повороте в альбомную ориентацию на Android 15 / API 35. Основание: записанный баг-репорт и Failed в ТС04 мобильного тестирования.</x:t>
  </x:si>
  <x:si>
    <x:t xml:space="preserve">Мобильных проверок выполнено</x:t>
  </x:si>
  <x:si>
    <x:t xml:space="preserve">Готовность к релизу</x:t>
  </x:si>
  <x:si>
    <x:t xml:space="preserve">К релизу не готово по результатам, записанным в книге.
Мобильная версия: bug-11 (Critical) — аварийное завершение при повороте экрана.
Веб: bug-2 (Major) — создаётся аккаунт без обязательного телефона; bug-10 (Major) — содержимое главной перекрывает поля регистрации. Также остаются bug-1, bug-4 и bug-5: отсутствует попап успеха, нарушено состояние пустых полей, отсутствует переход ко входу из футера.
До релиза исправить эти дефекты, уточнить ожидаемое состояние кнопки в R13, повторить связанные проверки и смоук. Закрытие багов и повторный полный прогон.</x:t>
  </x:si>
</x:sst>
</file>

<file path=xl/styles.xml><?xml version="1.0" encoding="utf-8"?>
<x:styleSheet xmlns:x="http://schemas.openxmlformats.org/spreadsheetml/2006/main">
  <x:numFmts count="1">
    <x:numFmt numFmtId="164" formatCode="d.m.yyyy"/>
  </x:numFmts>
  <x:fonts count="23">
    <x:font>
      <x:sz val="11"/>
      <x:color rgb="FF000000"/>
      <x:name val="Carlito"/>
      <x:scheme val="minor"/>
    </x:font>
    <x:font>
      <x:b/>
      <x:sz val="15"/>
      <x:color rgb="FFFFFFFF"/>
      <x:name val="Arial"/>
    </x:font>
    <x:font>
      <x:sz val="10"/>
      <x:color rgb="FF1F2933"/>
      <x:name val="Arial"/>
    </x:font>
    <x:font/>
    <x:font>
      <x:i/>
      <x:sz val="10"/>
      <x:color rgb="FF1F2933"/>
      <x:name val="Arial"/>
    </x:font>
    <x:font>
      <x:b/>
      <x:sz val="10"/>
      <x:color rgb="FFFFFFFF"/>
      <x:name val="Arial"/>
    </x:font>
    <x:font>
      <x:b/>
      <x:color theme="1"/>
      <x:name val="Arial"/>
    </x:font>
    <x:font>
      <x:b/>
      <x:sz val="11"/>
      <x:color rgb="FFFFFFFF"/>
      <x:name val="Arial"/>
    </x:font>
    <x:font>
      <x:u val="single"/>
      <x:sz val="10"/>
      <x:color rgb="FF467886"/>
      <x:name val="Arial"/>
    </x:font>
    <x:font>
      <x:sz val="10"/>
      <x:color rgb="FF000000"/>
      <x:name val="Arial"/>
    </x:font>
    <x:font>
      <x:b/>
      <x:sz val="11"/>
      <x:color rgb="FF1F2933"/>
      <x:name val="Arial"/>
    </x:font>
    <x:font>
      <x:u val="single"/>
      <x:sz val="10"/>
      <x:color rgb="FF467886"/>
      <x:name val="Arial"/>
    </x:font>
    <x:font>
      <x:u val="single"/>
      <x:sz val="10"/>
      <x:color rgb="FF0000FF"/>
      <x:name val="Arial"/>
    </x:font>
    <x:font>
      <x:color theme="1"/>
      <x:name val="Arial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u val="single"/>
      <x:sz val="10"/>
      <x:color rgb="FF467886"/>
      <x:name val="Arial"/>
    </x:font>
    <x:font>
      <x:u val="single"/>
      <x:sz val="10"/>
      <x:color rgb="FF1F2933"/>
      <x:name val="Arial"/>
    </x:font>
    <x:font>
      <x:b/>
      <x:sz val="10"/>
      <x:color rgb="FF1F2933"/>
      <x:name val="Arial"/>
    </x:font>
    <x:font>
      <x:sz val="11"/>
      <x:color theme="1"/>
      <x:name val="Carlito"/>
    </x:font>
    <x:font>
      <x:b/>
      <x:u val="single"/>
      <x:sz val="10"/>
      <x:color rgb="FF1155CC"/>
      <x:name val="Arial"/>
    </x:font>
    <x:font>
      <x:u val="single"/>
      <x:sz val="10"/>
      <x:color rgb="FF0000FF"/>
      <x:name val="Arial"/>
    </x:font>
    <x:font>
      <x:sz val="10"/>
      <x:color rgb="FF000000"/>
      <x:name val="Arial"/>
    </x:font>
  </x:fonts>
  <x:fills count="9">
    <x:fill>
      <x:patternFill patternType="none"/>
    </x:fill>
    <x:fill>
      <x:patternFill patternType="lightGray"/>
    </x:fill>
    <x:fill>
      <x:patternFill patternType="solid">
        <x:fgColor rgb="FF243447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FFE599"/>
      </x:patternFill>
    </x:fill>
    <x:fill>
      <x:patternFill patternType="solid">
        <x:fgColor rgb="FF34495E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 applyFont="1" applyAlignment="1"/>
  </x:cellStyleXfs>
  <x:cellXfs count="38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center" wrapText="1" shrinkToFit="0"/>
    </x:xf>
    <x:xf numFmtId="0" fontId="2" fillId="3" borderId="1" xfId="0" applyFont="1" applyFill="1" applyBorder="1" applyAlignment="1">
      <x:alignment vertical="center" wrapText="1" shrinkToFit="0"/>
    </x:xf>
    <x:xf numFmtId="0" fontId="3" fillId="0" borderId="2" xfId="0" applyFont="1" applyBorder="1"/>
    <x:xf numFmtId="0" fontId="3" fillId="0" borderId="3" xfId="0" applyFont="1" applyBorder="1"/>
    <x:xf numFmtId="0" fontId="4" fillId="4" borderId="1" xfId="0" applyFont="1" applyFill="1" applyBorder="1" applyAlignment="1">
      <x:alignment vertical="center" wrapText="1" shrinkToFit="0"/>
    </x:xf>
    <x:xf numFmtId="0" fontId="5" fillId="2" borderId="4" xfId="0" applyFont="1" applyFill="1" applyBorder="1" applyAlignment="1">
      <x:alignment horizontal="center" vertical="center" wrapText="1" shrinkToFit="0"/>
    </x:xf>
    <x:xf numFmtId="0" fontId="6" fillId="5" borderId="0" xfId="0" applyFont="1" applyFill="1" applyAlignment="1">
      <x:alignment horizontal="center"/>
    </x:xf>
    <x:xf numFmtId="0" fontId="2" fillId="0" borderId="0" xfId="0" applyFont="1" applyAlignment="1">
      <x:alignment vertical="top" wrapText="1" shrinkToFit="0"/>
    </x:xf>
    <x:xf numFmtId="0" fontId="7" fillId="6" borderId="1" xfId="0" applyFont="1" applyFill="1" applyBorder="1" applyAlignment="1">
      <x:alignment vertical="center" wrapText="1" shrinkToFit="0"/>
    </x:xf>
    <x:xf numFmtId="0" fontId="8" fillId="3" borderId="5" xfId="0" applyFont="1" applyFill="1" applyBorder="1" applyAlignment="1">
      <x:alignment vertical="top" wrapText="1" shrinkToFit="0"/>
    </x:xf>
    <x:xf numFmtId="0" fontId="2" fillId="3" borderId="5" xfId="0" applyFont="1" applyFill="1" applyBorder="1" applyAlignment="1">
      <x:alignment vertical="top" wrapText="1" shrinkToFit="0"/>
    </x:xf>
    <x:xf numFmtId="0" fontId="2" fillId="0" borderId="5" xfId="0" applyFont="1" applyBorder="1" applyAlignment="1">
      <x:alignment vertical="top" wrapText="1" shrinkToFit="0"/>
    </x:xf>
    <x:xf numFmtId="0" fontId="9" fillId="3" borderId="5" xfId="0" applyFont="1" applyFill="1" applyBorder="1" applyAlignment="1">
      <x:alignment vertical="top" wrapText="1" shrinkToFit="0"/>
    </x:xf>
    <x:xf numFmtId="0" fontId="10" fillId="7" borderId="1" xfId="0" applyFont="1" applyFill="1" applyBorder="1" applyAlignment="1">
      <x:alignment horizontal="center" vertical="center" wrapText="1" shrinkToFit="0"/>
    </x:xf>
    <x:xf numFmtId="0" fontId="11" fillId="3" borderId="5" xfId="0" applyFont="1" applyFill="1" applyBorder="1" applyAlignment="1">
      <x:alignment vertical="top" wrapText="1" shrinkToFit="0"/>
    </x:xf>
    <x:xf numFmtId="0" fontId="12" fillId="3" borderId="5" xfId="0" applyFont="1" applyFill="1" applyBorder="1" applyAlignment="1">
      <x:alignment vertical="top" wrapText="1" shrinkToFit="0"/>
    </x:xf>
    <x:xf numFmtId="0" fontId="13" fillId="0" borderId="0" xfId="0" applyFont="1"/>
    <x:xf numFmtId="0" fontId="14" fillId="3" borderId="5" xfId="0" applyFont="1" applyFill="1" applyBorder="1" applyAlignment="1">
      <x:alignment horizontal="left" vertical="top" wrapText="1" shrinkToFit="0"/>
    </x:xf>
    <x:xf numFmtId="0" fontId="15" fillId="3" borderId="5" xfId="0" applyFont="1" applyFill="1" applyBorder="1" applyAlignment="1">
      <x:alignment vertical="top" wrapText="1" shrinkToFit="0"/>
    </x:xf>
    <x:xf numFmtId="0" fontId="16" fillId="3" borderId="5" xfId="0" applyFont="1" applyFill="1" applyBorder="1" applyAlignment="1">
      <x:alignment horizontal="left" vertical="top" wrapText="1" shrinkToFit="0"/>
    </x:xf>
    <x:xf numFmtId="0" fontId="9" fillId="3" borderId="5" xfId="0" applyFont="1" applyFill="1" applyBorder="1" applyAlignment="1">
      <x:alignment vertical="top" wrapText="1" shrinkToFit="0"/>
    </x:xf>
    <x:xf numFmtId="0" fontId="17" fillId="3" borderId="5" xfId="0" applyFont="1" applyFill="1" applyBorder="1" applyAlignment="1">
      <x:alignment vertical="top" wrapText="1" shrinkToFit="0"/>
    </x:xf>
    <x:xf numFmtId="0" fontId="9" fillId="0" borderId="5" xfId="0" applyFont="1" applyBorder="1" applyAlignment="1">
      <x:alignment vertical="top" wrapText="1" shrinkToFit="0"/>
    </x:xf>
    <x:xf numFmtId="0" fontId="1" fillId="2" borderId="0" xfId="0" applyFont="1" applyFill="1" applyAlignment="1">
      <x:alignment vertical="center" wrapText="1" shrinkToFit="0"/>
    </x:xf>
    <x:xf numFmtId="0" fontId="18" fillId="7" borderId="5" xfId="0" applyFont="1" applyFill="1" applyBorder="1" applyAlignment="1">
      <x:alignment vertical="center" wrapText="1" shrinkToFit="0"/>
    </x:xf>
    <x:xf numFmtId="0" fontId="2" fillId="8" borderId="1" xfId="0" applyFont="1" applyFill="1" applyBorder="1" applyAlignment="1">
      <x:alignment vertical="center" wrapText="1" shrinkToFit="0"/>
    </x:xf>
    <x:xf numFmtId="0" fontId="19" fillId="8" borderId="0" xfId="0" applyFont="1" applyFill="1" applyAlignment="1">
      <x:alignment wrapText="1" shrinkToFit="0"/>
    </x:xf>
    <x:xf numFmtId="0" fontId="7" fillId="6" borderId="0" xfId="0" applyFont="1" applyFill="1" applyAlignment="1">
      <x:alignment vertical="center" wrapText="1" shrinkToFit="0"/>
    </x:xf>
    <x:xf numFmtId="0" fontId="18" fillId="0" borderId="5" xfId="0" applyFont="1" applyBorder="1" applyAlignment="1">
      <x:alignment vertical="top" wrapText="1" shrinkToFit="0"/>
    </x:xf>
    <x:xf numFmtId="164" fontId="2" fillId="3" borderId="5" xfId="0" applyNumberFormat="1" applyFont="1" applyFill="1" applyBorder="1" applyAlignment="1">
      <x:alignment vertical="top" wrapText="1" shrinkToFit="0"/>
    </x:xf>
    <x:xf numFmtId="0" fontId="20" fillId="7" borderId="1" xfId="0" applyFont="1" applyFill="1" applyBorder="1" applyAlignment="1">
      <x:alignment vertical="center" wrapText="1" shrinkToFit="0"/>
    </x:xf>
    <x:xf numFmtId="0" fontId="21" fillId="0" borderId="5" xfId="0" applyFont="1" applyBorder="1" applyAlignment="1">
      <x:alignment vertical="top" wrapText="1" shrinkToFit="0"/>
    </x:xf>
    <x:xf numFmtId="0" fontId="9" fillId="3" borderId="1" xfId="0" applyFont="1" applyFill="1" applyBorder="1" applyAlignment="1">
      <x:alignment vertical="top" wrapText="1" shrinkToFit="0"/>
    </x:xf>
    <x:xf numFmtId="0" fontId="9" fillId="3" borderId="1" xfId="0" applyFont="1" applyFill="1" applyBorder="1" applyAlignment="1">
      <x:alignment vertical="top" wrapText="1" shrinkToFit="0"/>
    </x:xf>
    <x:xf numFmtId="0" fontId="22" fillId="3" borderId="5" xfId="0" applyNumberFormat="1" applyFont="1" applyFill="1" applyBorder="1" applyAlignment="1">
      <x:alignment vertical="top" wrapText="1"/>
    </x:xf>
    <x:xf numFmtId="0" fontId="22" fillId="0" borderId="5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ill>
        <x:patternFill>
          <x:bgColor rgb="FFFFF2CC"/>
        </x:patternFill>
      </x:fill>
      <x:border/>
    </x:dxf>
    <x:dxf>
      <x:font>
        <x:b/>
        <x:color rgb="FF263746"/>
      </x:font>
      <x:fill>
        <x:patternFill>
          <x:bgColor rgb="FFE2F0D9"/>
        </x:patternFill>
      </x:fill>
      <x:border/>
    </x:dxf>
    <x:dxf>
      <x:font>
        <x:b/>
        <x:color rgb="FF000000"/>
      </x:font>
      <x:fill>
        <x:patternFill>
          <x:bgColor rgb="FFFCE4D6"/>
        </x:patternFill>
      </x:fill>
      <x:border/>
    </x:dxf>
    <x:dxf>
      <x:font>
        <x:b/>
        <x:color rgb="FF263746"/>
      </x:font>
      <x:fill>
        <x:patternFill>
          <x:bgColor rgb="FFFFF2CC"/>
        </x:patternFill>
      </x:fill>
      <x:border/>
    </x:dxf>
    <x:dxf>
      <x:font>
        <x:b/>
        <x:color rgb="FF263746"/>
      </x:font>
      <x:fill>
        <x:patternFill>
          <x:bgColor rgb="FFE7E6E6"/>
        </x:patternFill>
      </x:fill>
      <x:border/>
    </x:dxf>
    <x:dxf>
      <x:font>
        <x:b/>
        <x:color rgb="FF000000"/>
      </x:font>
      <x:fill>
        <x:patternFill>
          <x:bgColor rgb="FFFFC7CE"/>
        </x:patternFill>
      </x:fill>
      <x:border/>
    </x:dxf>
    <x:dxf>
      <x:font>
        <x:color rgb="FF000000"/>
      </x:font>
      <x:fill>
        <x:patternFill>
          <x:bgColor rgb="FFFFC7CE"/>
        </x:patternFill>
      </x:fill>
      <x:border/>
    </x:dxf>
    <x:dxf>
      <x:fill>
        <x:patternFill>
          <x:bgColor rgb="FFFFF4CC"/>
        </x:patternFill>
      </x:fill>
      <x:border/>
    </x:dxf>
    <x:dxf>
      <x:font>
        <x:b/>
        <x:color rgb="FF27632A"/>
      </x:font>
      <x:fill>
        <x:patternFill>
          <x:bgColor rgb="FFE2F0D9"/>
        </x:patternFill>
      </x:fill>
      <x:border/>
    </x:dxf>
    <x:dxf>
      <x:font>
        <x:b/>
        <x:color rgb="FF7A5200"/>
      </x:font>
      <x:fill>
        <x:patternFill>
          <x:bgColor rgb="FFFFF4CC"/>
        </x:patternFill>
      </x:fill>
      <x:border/>
    </x:dxf>
    <x:dxf>
      <x:font>
        <x:b/>
        <x:color rgb="FF1F2933"/>
      </x:font>
      <x:fill>
        <x:patternFill>
          <x:bgColor rgb="FFF5F7FA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26a8bc62e4976" /><Relationship Type="http://schemas.openxmlformats.org/officeDocument/2006/relationships/theme" Target="/xl/theme/theme1.xml" Id="R5d60880816f1489c" /><Relationship Type="http://schemas.openxmlformats.org/officeDocument/2006/relationships/sharedStrings" Target="/xl/sharedStrings.xml" Id="R730917be206c49d4" /><Relationship Type="http://schemas.openxmlformats.org/officeDocument/2006/relationships/worksheet" Target="/xl/worksheets/sheet1.xml" Id="R66d4e5dcb7954a3a" /><Relationship Type="http://schemas.openxmlformats.org/officeDocument/2006/relationships/worksheet" Target="/xl/worksheets/sheet2.xml" Id="Rc55d53a996d54849" /><Relationship Type="http://schemas.openxmlformats.org/officeDocument/2006/relationships/worksheet" Target="/xl/worksheets/sheet3.xml" Id="Rd3e3bb8dff6b41ff" /><Relationship Type="http://schemas.openxmlformats.org/officeDocument/2006/relationships/worksheet" Target="/xl/worksheets/sheet4.xml" Id="R0f4a7e3469a34163" /><Relationship Type="http://schemas.openxmlformats.org/officeDocument/2006/relationships/worksheet" Target="/xl/worksheets/sheet5.xml" Id="R47e56eed0a3b4949" /><Relationship Type="http://schemas.openxmlformats.org/officeDocument/2006/relationships/worksheet" Target="/xl/worksheets/sheet6.xml" Id="R583b6898ff0e4a3c" /><Relationship Type="http://schemas.openxmlformats.org/officeDocument/2006/relationships/worksheet" Target="/xl/worksheets/sheet7.xml" Id="Rf1e74565d5414cb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drive.google.com/open?id=1lTrxVf0QF2txABpPvNSIrbwRgq7PGW17&amp;usp=drive_copy" TargetMode="External" Id="R5b53f900e43a4e82" /><Relationship Type="http://schemas.openxmlformats.org/officeDocument/2006/relationships/hyperlink" Target="https://drive.google.com/file/d/1iQIM94iDx9h45tJM9rVbWDX-s00SGuJw/view?usp=drive_link" TargetMode="External" Id="Reafbace95ae84317" /><Relationship Type="http://schemas.openxmlformats.org/officeDocument/2006/relationships/hyperlink" Target="https://drive.google.com/open?id=15tOGl9kJ_roeXoveVnpmwhCdP0YuEv_I&amp;usp=drive_copy" TargetMode="External" Id="R0944cabde7af4bb8" /><Relationship Type="http://schemas.openxmlformats.org/officeDocument/2006/relationships/hyperlink" Target="https://drive.google.com/open?id=1hR0f53RQ1_sP-uKN3gZP_lvnClvDLu2L&amp;usp=drive_copy" TargetMode="External" Id="Re2750bbc1f044d1a" /><Relationship Type="http://schemas.openxmlformats.org/officeDocument/2006/relationships/hyperlink" Target="https://drive.google.com/open?id=1zuPssJlqZhlw3Pz10XvUpTOWAY46SPL8&amp;usp=drive_copy" TargetMode="External" Id="R3ca5984c9a094169" /><Relationship Type="http://schemas.openxmlformats.org/officeDocument/2006/relationships/hyperlink" Target="https://drive.google.com/open?id=1B0GeOwKCuNJgPF-Rp1jNrBpH5dRrXKBh&amp;usp=drive_copy" TargetMode="External" Id="R30e4b18d37ac4a7d" /><Relationship Type="http://schemas.openxmlformats.org/officeDocument/2006/relationships/hyperlink" Target="https://drive.google.com/file/d/1zhHSRK50Q0u-lPxsiL0R8wakK0caf2zx/view?usp=drive_link" TargetMode="External" Id="R0d6d119e3c9e495b" /><Relationship Type="http://schemas.openxmlformats.org/officeDocument/2006/relationships/hyperlink" Target="https://drive.google.com/file/d/1j-8oFo1BociX2XqsAp7l2hdMfU6WxbQn/view?usp=drive_link" TargetMode="External" Id="R13b68de2489d4e9d" /><Relationship Type="http://schemas.openxmlformats.org/officeDocument/2006/relationships/hyperlink" Target="https://drive.google.com/file/d/1tyrNjAhufnrt4ZRV9cCnw8FtBivq54RQ/view?usp=drive_link" TargetMode="External" Id="Radda95aa2faf493d" /><Relationship Type="http://schemas.openxmlformats.org/officeDocument/2006/relationships/hyperlink" Target="https://drive.google.com/file/d/1KR0mrquk5dv5FTED9AAJT9thIa6sqnTv/view?usp=drive_link" TargetMode="External" Id="Rf1b2607daae14049" /><Relationship Type="http://schemas.openxmlformats.org/officeDocument/2006/relationships/hyperlink" Target="https://drive.google.com/file/d/1DlWWBQqHDgxKXXAXWZEWY39ioNxQ7TVX/view?usp=drive_link" TargetMode="External" Id="R0da0b4f5d30242c5" /><Relationship Type="http://schemas.openxmlformats.org/officeDocument/2006/relationships/hyperlink" Target="https://drive.google.com/file/d/1FXOK4jdinU81qxRaolgo_py3FKGfutK6/view?usp=drive_link" TargetMode="External" Id="R6f774488f26647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figma.com/design/CLHnTSsOLTJiSJQl7TUNnd/Prilavok?node-id=0-1" TargetMode="External" Id="R85c2d53deb3e49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23" customWidth="1"/>
    <x:col min="2" max="3" width="18" customWidth="1"/>
    <x:col min="4" max="4" width="28" customWidth="1"/>
    <x:col min="5" max="7" width="34" customWidth="1"/>
  </x:cols>
  <x:sheetData>
    <x:row r="1" ht="27" customHeight="1">
      <x:c r="A1" s="1" t="s">
        <x:v>0</x:v>
      </x:c>
    </x:row>
    <x:row r="2" ht="40.5" customHeight="1">
      <x:c r="A2" s="2"/>
      <x:c r="B2" s="3"/>
      <x:c r="C2" s="3"/>
      <x:c r="D2" s="3"/>
      <x:c r="E2" s="3"/>
      <x:c r="F2" s="3"/>
      <x:c r="G2" s="4"/>
    </x:row>
    <x:row r="3" ht="36" customHeight="1">
      <x:c r="A3" s="5"/>
      <x:c r="B3" s="3"/>
      <x:c r="C3" s="3"/>
      <x:c r="D3" s="3"/>
      <x:c r="E3" s="3"/>
      <x:c r="F3" s="3"/>
      <x:c r="G3" s="4"/>
    </x:row>
    <x:row r="4">
      <x:c r="A4" s="8"/>
      <x:c r="B4" s="8"/>
      <x:c r="C4" s="8"/>
      <x:c r="D4" s="8"/>
      <x:c r="E4" s="8"/>
      <x:c r="F4" s="8"/>
      <x:c r="G4" s="8"/>
    </x:row>
    <x:row r="5" ht="21" customHeight="1">
      <x:c r="A5" s="9" t="s">
        <x:v>1</x:v>
      </x:c>
      <x:c r="B5" s="3"/>
      <x:c r="C5" s="3"/>
      <x:c r="D5" s="3"/>
      <x:c r="E5" s="3"/>
      <x:c r="F5" s="3"/>
      <x:c r="G5" s="4"/>
    </x:row>
    <x:row r="6">
      <x:c r="A6" s="11"/>
      <x:c r="B6" s="11"/>
      <x:c r="C6" s="11"/>
      <x:c r="D6" s="11"/>
      <x:c r="E6" s="11"/>
      <x:c r="F6" s="11"/>
      <x:c r="G6" s="11"/>
    </x:row>
    <x:row r="7">
      <x:c r="A7" s="11"/>
      <x:c r="B7" s="11"/>
      <x:c r="C7" s="11"/>
      <x:c r="D7" s="11"/>
      <x:c r="E7" s="11"/>
      <x:c r="F7" s="11"/>
      <x:c r="G7" s="11"/>
    </x:row>
    <x:row r="8">
      <x:c r="A8" s="14" t="s">
        <x:v>2</x:v>
      </x:c>
      <x:c r="B8" s="3"/>
      <x:c r="C8" s="4"/>
      <x:c r="D8" s="14" t="s">
        <x:v>3</x:v>
      </x:c>
      <x:c r="E8" s="3"/>
      <x:c r="F8" s="3"/>
      <x:c r="G8" s="4"/>
    </x:row>
    <x:row r="9">
      <x:c r="A9" s="6" t="s">
        <x:v>4</x:v>
      </x:c>
      <x:c r="B9" s="6" t="s">
        <x:v>5</x:v>
      </x:c>
      <x:c r="C9" s="6"/>
      <x:c r="D9" s="6" t="s">
        <x:v>6</x:v>
      </x:c>
      <x:c r="E9" s="6" t="s">
        <x:v>7</x:v>
      </x:c>
      <x:c r="F9" s="6" t="s">
        <x:v>8</x:v>
      </x:c>
      <x:c r="G9" s="6" t="s">
        <x:v>9</x:v>
      </x:c>
    </x:row>
    <x:row r="10" ht="90" customHeight="1">
      <x:c r="A10" s="11" t="s">
        <x:v>10</x:v>
      </x:c>
      <x:c r="B10" s="11" t="s">
        <x:v>11</x:v>
      </x:c>
      <x:c r="C10" s="11"/>
      <x:c r="D10" s="11" t="s">
        <x:v>12</x:v>
      </x:c>
      <x:c r="E10" s="35" t="s">
        <x:v>13</x:v>
      </x:c>
      <x:c r="F10" s="35" t="s">
        <x:v>14</x:v>
      </x:c>
      <x:c r="G10" s="35" t="s">
        <x:v>15</x:v>
      </x:c>
    </x:row>
    <x:row r="11" ht="90" customHeight="1">
      <x:c r="A11" s="11" t="s">
        <x:v>16</x:v>
      </x:c>
      <x:c r="B11" s="11" t="s">
        <x:v>11</x:v>
      </x:c>
      <x:c r="C11" s="11"/>
      <x:c r="D11" s="11" t="s">
        <x:v>17</x:v>
      </x:c>
      <x:c r="E11" s="35" t="s">
        <x:v>18</x:v>
      </x:c>
      <x:c r="F11" s="35" t="s">
        <x:v>19</x:v>
      </x:c>
      <x:c r="G11" s="35" t="s">
        <x:v>20</x:v>
      </x:c>
    </x:row>
    <x:row r="12" ht="114" customHeight="1">
      <x:c r="A12" s="11" t="s">
        <x:v>21</x:v>
      </x:c>
      <x:c r="B12" s="11" t="s">
        <x:v>11</x:v>
      </x:c>
      <x:c r="C12" s="11"/>
      <x:c r="D12" s="11" t="s">
        <x:v>22</x:v>
      </x:c>
      <x:c r="E12" s="35" t="s">
        <x:v>23</x:v>
      </x:c>
      <x:c r="F12" s="35" t="s">
        <x:v>24</x:v>
      </x:c>
      <x:c r="G12" s="35" t="s">
        <x:v>25</x:v>
      </x:c>
    </x:row>
    <x:row r="13" ht="90" customHeight="1">
      <x:c r="A13" s="11" t="s">
        <x:v>26</x:v>
      </x:c>
      <x:c r="B13" s="11" t="s">
        <x:v>11</x:v>
      </x:c>
      <x:c r="C13" s="11"/>
      <x:c r="D13" s="11" t="s">
        <x:v>27</x:v>
      </x:c>
      <x:c r="E13" s="35" t="s">
        <x:v>28</x:v>
      </x:c>
      <x:c r="F13" s="35" t="s">
        <x:v>29</x:v>
      </x:c>
      <x:c r="G13" s="35" t="s">
        <x:v>30</x:v>
      </x:c>
    </x:row>
    <x:row r="14" ht="88.5" customHeight="1">
      <x:c r="A14" s="11" t="s">
        <x:v>31</x:v>
      </x:c>
      <x:c r="B14" s="11" t="s">
        <x:v>11</x:v>
      </x:c>
      <x:c r="C14" s="11"/>
      <x:c r="D14" s="11" t="s">
        <x:v>32</x:v>
      </x:c>
      <x:c r="E14" s="11" t="s">
        <x:v>33</x:v>
      </x:c>
      <x:c r="F14" s="11" t="s">
        <x:v>34</x:v>
      </x:c>
      <x:c r="G14" s="11" t="s">
        <x:v>35</x:v>
      </x:c>
    </x:row>
    <x:row r="15" ht="90" customHeight="1">
      <x:c r="A15" s="11" t="s">
        <x:v>36</x:v>
      </x:c>
      <x:c r="B15" s="11" t="s">
        <x:v>11</x:v>
      </x:c>
      <x:c r="C15" s="11"/>
      <x:c r="D15" s="11" t="s">
        <x:v>37</x:v>
      </x:c>
      <x:c r="E15" s="35" t="s">
        <x:v>38</x:v>
      </x:c>
      <x:c r="F15" s="35" t="s">
        <x:v>39</x:v>
      </x:c>
      <x:c r="G15" s="35" t="s">
        <x:v>40</x:v>
      </x:c>
    </x:row>
    <x:row r="16" ht="66" customHeight="1">
      <x:c r="A16" s="11" t="s">
        <x:v>41</x:v>
      </x:c>
      <x:c r="B16" s="11" t="s">
        <x:v>11</x:v>
      </x:c>
      <x:c r="C16" s="11"/>
      <x:c r="D16" s="11" t="s">
        <x:v>42</x:v>
      </x:c>
      <x:c r="E16" s="11" t="s">
        <x:v>43</x:v>
      </x:c>
      <x:c r="F16" s="11" t="s">
        <x:v>44</x:v>
      </x:c>
      <x:c r="G16" s="35" t="s">
        <x:v>45</x:v>
      </x:c>
    </x:row>
    <x:row r="17" ht="90" customHeight="1">
      <x:c r="A17" s="11" t="s">
        <x:v>46</x:v>
      </x:c>
      <x:c r="B17" s="11" t="s">
        <x:v>11</x:v>
      </x:c>
      <x:c r="C17" s="11"/>
      <x:c r="D17" s="11" t="s">
        <x:v>47</x:v>
      </x:c>
      <x:c r="E17" s="35" t="s">
        <x:v>48</x:v>
      </x:c>
      <x:c r="F17" s="35" t="s">
        <x:v>49</x:v>
      </x:c>
      <x:c r="G17" s="35" t="s">
        <x:v>50</x:v>
      </x:c>
    </x:row>
    <x:row r="18" ht="88.5" customHeight="1">
      <x:c r="A18" s="11" t="s">
        <x:v>51</x:v>
      </x:c>
      <x:c r="B18" s="11" t="s">
        <x:v>11</x:v>
      </x:c>
      <x:c r="C18" s="11"/>
      <x:c r="D18" s="11" t="s">
        <x:v>52</x:v>
      </x:c>
      <x:c r="E18" s="11" t="s">
        <x:v>53</x:v>
      </x:c>
      <x:c r="F18" s="11" t="s">
        <x:v>54</x:v>
      </x:c>
      <x:c r="G18" s="11" t="s">
        <x:v>55</x:v>
      </x:c>
    </x:row>
    <x:row r="19" ht="88.5" customHeight="1">
      <x:c r="A19" s="11" t="s">
        <x:v>56</x:v>
      </x:c>
      <x:c r="B19" s="11" t="s">
        <x:v>11</x:v>
      </x:c>
      <x:c r="C19" s="11"/>
      <x:c r="D19" s="11" t="s">
        <x:v>57</x:v>
      </x:c>
      <x:c r="E19" s="11" t="s">
        <x:v>58</x:v>
      </x:c>
      <x:c r="F19" s="11" t="s">
        <x:v>59</x:v>
      </x:c>
      <x:c r="G19" s="11" t="s">
        <x:v>60</x:v>
      </x:c>
    </x:row>
    <x:row r="20" ht="66" customHeight="1">
      <x:c r="A20" s="35" t="s">
        <x:v>61</x:v>
      </x:c>
      <x:c r="B20" s="11" t="s">
        <x:v>62</x:v>
      </x:c>
      <x:c r="C20" s="11"/>
      <x:c r="D20" s="11" t="s">
        <x:v>63</x:v>
      </x:c>
      <x:c r="E20" s="11" t="s">
        <x:v>64</x:v>
      </x:c>
      <x:c r="F20" s="11" t="s">
        <x:v>65</x:v>
      </x:c>
      <x:c r="G20" s="11" t="s">
        <x:v>66</x:v>
      </x:c>
    </x:row>
    <x:row r="21" ht="66" customHeight="1">
      <x:c r="A21" s="35" t="s">
        <x:v>67</x:v>
      </x:c>
      <x:c r="B21" s="11" t="s">
        <x:v>68</x:v>
      </x:c>
      <x:c r="C21" s="11"/>
      <x:c r="D21" s="11" t="s">
        <x:v>69</x:v>
      </x:c>
      <x:c r="E21" s="11" t="s">
        <x:v>70</x:v>
      </x:c>
      <x:c r="F21" s="11" t="s">
        <x:v>71</x:v>
      </x:c>
      <x:c r="G21" s="11" t="s">
        <x:v>72</x:v>
      </x:c>
    </x:row>
    <x:row r="22" ht="88.5" customHeight="1">
      <x:c r="A22" s="11" t="s">
        <x:v>73</x:v>
      </x:c>
      <x:c r="B22" s="11" t="s">
        <x:v>74</x:v>
      </x:c>
      <x:c r="C22" s="11"/>
      <x:c r="D22" s="11" t="s">
        <x:v>75</x:v>
      </x:c>
      <x:c r="E22" s="11" t="s">
        <x:v>76</x:v>
      </x:c>
      <x:c r="F22" s="11" t="s">
        <x:v>77</x:v>
      </x:c>
      <x:c r="G22" s="11" t="s">
        <x:v>78</x:v>
      </x:c>
    </x:row>
    <x:row r="23" ht="63.75" customHeight="1">
      <x:c r="A23" s="11" t="s">
        <x:v>79</x:v>
      </x:c>
      <x:c r="B23" s="11" t="s">
        <x:v>80</x:v>
      </x:c>
      <x:c r="C23" s="11"/>
      <x:c r="D23" s="11" t="s">
        <x:v>81</x:v>
      </x:c>
      <x:c r="E23" s="11" t="s">
        <x:v>82</x:v>
      </x:c>
      <x:c r="F23" s="11" t="s">
        <x:v>83</x:v>
      </x:c>
      <x:c r="G23" s="11" t="s">
        <x:v>84</x:v>
      </x:c>
    </x:row>
    <x:row r="24" ht="66" customHeight="1">
      <x:c r="A24" s="35" t="s">
        <x:v>85</x:v>
      </x:c>
      <x:c r="B24" s="11" t="s">
        <x:v>62</x:v>
      </x:c>
      <x:c r="C24" s="11"/>
      <x:c r="D24" s="11" t="s">
        <x:v>86</x:v>
      </x:c>
      <x:c r="E24" s="11" t="s">
        <x:v>87</x:v>
      </x:c>
      <x:c r="F24" s="11" t="s">
        <x:v>88</x:v>
      </x:c>
      <x:c r="G24" s="11" t="s">
        <x:v>89</x:v>
      </x:c>
    </x:row>
    <x:row r="25" ht="66" customHeight="1">
      <x:c r="A25" s="35" t="s">
        <x:v>90</x:v>
      </x:c>
      <x:c r="B25" s="11" t="s">
        <x:v>91</x:v>
      </x:c>
      <x:c r="C25" s="11"/>
      <x:c r="D25" s="11" t="s">
        <x:v>92</x:v>
      </x:c>
      <x:c r="E25" s="11" t="s">
        <x:v>93</x:v>
      </x:c>
      <x:c r="F25" s="11" t="s">
        <x:v>94</x:v>
      </x:c>
      <x:c r="G25" s="11" t="s">
        <x:v>95</x:v>
      </x:c>
    </x:row>
    <x:row r="26" ht="75.75" customHeight="1">
      <x:c r="A26" s="11" t="s">
        <x:v>96</x:v>
      </x:c>
      <x:c r="B26" s="11" t="s">
        <x:v>97</x:v>
      </x:c>
      <x:c r="C26" s="11"/>
      <x:c r="D26" s="11" t="s">
        <x:v>98</x:v>
      </x:c>
      <x:c r="E26" s="11" t="s">
        <x:v>99</x:v>
      </x:c>
      <x:c r="F26" s="11" t="s">
        <x:v>100</x:v>
      </x:c>
      <x:c r="G26" s="11" t="s">
        <x:v>101</x:v>
      </x:c>
    </x:row>
    <x:row r="27" ht="21" customHeight="1">
      <x:c r="A27" s="9" t="s">
        <x:v>102</x:v>
      </x:c>
      <x:c r="B27" s="3"/>
      <x:c r="C27" s="3"/>
      <x:c r="D27" s="3"/>
      <x:c r="E27" s="3"/>
      <x:c r="F27" s="3"/>
      <x:c r="G27" s="4"/>
    </x:row>
    <x:row r="28" ht="15.75" customHeight="1">
      <x:c r="A28" s="11"/>
      <x:c r="B28" s="11"/>
      <x:c r="C28" s="11"/>
      <x:c r="D28" s="11"/>
      <x:c r="E28" s="11"/>
      <x:c r="F28" s="11"/>
      <x:c r="G28" s="11"/>
    </x:row>
    <x:row r="29" ht="15.75" customHeight="1">
      <x:c r="A29" s="14" t="s">
        <x:v>2</x:v>
      </x:c>
      <x:c r="B29" s="3"/>
      <x:c r="C29" s="4"/>
      <x:c r="D29" s="14" t="s">
        <x:v>3</x:v>
      </x:c>
      <x:c r="E29" s="3"/>
      <x:c r="F29" s="3"/>
      <x:c r="G29" s="4"/>
    </x:row>
    <x:row r="30" ht="15.75" customHeight="1">
      <x:c r="A30" s="6" t="s">
        <x:v>4</x:v>
      </x:c>
      <x:c r="B30" s="6" t="s">
        <x:v>5</x:v>
      </x:c>
      <x:c r="C30" s="6"/>
      <x:c r="D30" s="6" t="s">
        <x:v>6</x:v>
      </x:c>
      <x:c r="E30" s="6" t="s">
        <x:v>7</x:v>
      </x:c>
      <x:c r="F30" s="6" t="s">
        <x:v>8</x:v>
      </x:c>
      <x:c r="G30" s="6" t="s">
        <x:v>9</x:v>
      </x:c>
    </x:row>
    <x:row r="31" ht="66" customHeight="1">
      <x:c r="A31" s="35" t="s">
        <x:v>103</x:v>
      </x:c>
      <x:c r="B31" s="11" t="s">
        <x:v>62</x:v>
      </x:c>
      <x:c r="C31" s="11"/>
      <x:c r="D31" s="11" t="s">
        <x:v>104</x:v>
      </x:c>
      <x:c r="E31" s="11" t="s">
        <x:v>105</x:v>
      </x:c>
      <x:c r="F31" s="11" t="s">
        <x:v>106</x:v>
      </x:c>
      <x:c r="G31" s="11" t="s">
        <x:v>107</x:v>
      </x:c>
    </x:row>
    <x:row r="32" ht="88.5" customHeight="1">
      <x:c r="A32" s="11" t="s">
        <x:v>79</x:v>
      </x:c>
      <x:c r="B32" s="11" t="s">
        <x:v>108</x:v>
      </x:c>
      <x:c r="C32" s="11"/>
      <x:c r="D32" s="11" t="s">
        <x:v>109</x:v>
      </x:c>
      <x:c r="E32" s="11" t="s">
        <x:v>110</x:v>
      </x:c>
      <x:c r="F32" s="11" t="s">
        <x:v>111</x:v>
      </x:c>
      <x:c r="G32" s="11" t="s">
        <x:v>112</x:v>
      </x:c>
    </x:row>
    <x:row r="33" ht="54" customHeight="1">
      <x:c r="A33" s="35" t="s">
        <x:v>113</x:v>
      </x:c>
      <x:c r="B33" s="11" t="s">
        <x:v>62</x:v>
      </x:c>
      <x:c r="C33" s="11"/>
      <x:c r="D33" s="11" t="s">
        <x:v>114</x:v>
      </x:c>
      <x:c r="E33" s="11" t="s">
        <x:v>115</x:v>
      </x:c>
      <x:c r="F33" s="11" t="s">
        <x:v>116</x:v>
      </x:c>
      <x:c r="G33" s="11" t="s">
        <x:v>117</x:v>
      </x:c>
    </x:row>
    <x:row r="34" ht="88.5" customHeight="1">
      <x:c r="A34" s="11" t="s">
        <x:v>21</x:v>
      </x:c>
      <x:c r="B34" s="11" t="s">
        <x:v>11</x:v>
      </x:c>
      <x:c r="C34" s="11"/>
      <x:c r="D34" s="11" t="s">
        <x:v>118</x:v>
      </x:c>
      <x:c r="E34" s="11" t="s">
        <x:v>119</x:v>
      </x:c>
      <x:c r="F34" s="11" t="s">
        <x:v>120</x:v>
      </x:c>
      <x:c r="G34" s="11" t="s">
        <x:v>121</x:v>
      </x:c>
    </x:row>
    <x:row r="35" ht="75.75" customHeight="1">
      <x:c r="A35" s="11" t="s">
        <x:v>26</x:v>
      </x:c>
      <x:c r="B35" s="11" t="s">
        <x:v>122</x:v>
      </x:c>
      <x:c r="C35" s="11"/>
      <x:c r="D35" s="11" t="s">
        <x:v>123</x:v>
      </x:c>
      <x:c r="E35" s="11" t="s">
        <x:v>124</x:v>
      </x:c>
      <x:c r="F35" s="11" t="s">
        <x:v>125</x:v>
      </x:c>
      <x:c r="G35" s="11" t="s">
        <x:v>126</x:v>
      </x:c>
    </x:row>
    <x:row r="36" ht="54" customHeight="1">
      <x:c r="A36" s="35" t="s">
        <x:v>127</x:v>
      </x:c>
      <x:c r="B36" s="11" t="s">
        <x:v>68</x:v>
      </x:c>
      <x:c r="C36" s="11"/>
      <x:c r="D36" s="11" t="s">
        <x:v>128</x:v>
      </x:c>
      <x:c r="E36" s="11" t="s">
        <x:v>129</x:v>
      </x:c>
      <x:c r="F36" s="11" t="s">
        <x:v>130</x:v>
      </x:c>
      <x:c r="G36" s="11" t="s">
        <x:v>131</x:v>
      </x:c>
    </x:row>
    <x:row r="37" ht="63.75" customHeight="1">
      <x:c r="A37" s="11" t="s">
        <x:v>132</x:v>
      </x:c>
      <x:c r="B37" s="11" t="s">
        <x:v>133</x:v>
      </x:c>
      <x:c r="C37" s="11"/>
      <x:c r="D37" s="11" t="s">
        <x:v>134</x:v>
      </x:c>
      <x:c r="E37" s="11" t="s">
        <x:v>135</x:v>
      </x:c>
      <x:c r="F37" s="11" t="s">
        <x:v>136</x:v>
      </x:c>
      <x:c r="G37" s="11" t="s">
        <x:v>137</x:v>
      </x:c>
    </x:row>
    <x:row r="38" ht="42" customHeight="1">
      <x:c r="A38" s="35" t="s">
        <x:v>138</x:v>
      </x:c>
      <x:c r="B38" s="35" t="s">
        <x:v>139</x:v>
      </x:c>
      <x:c r="C38" s="11"/>
      <x:c r="D38" s="11" t="s">
        <x:v>140</x:v>
      </x:c>
      <x:c r="E38" s="11" t="s">
        <x:v>141</x:v>
      </x:c>
      <x:c r="F38" s="11" t="s">
        <x:v>142</x:v>
      </x:c>
      <x:c r="G38" s="11" t="s">
        <x:v>143</x:v>
      </x:c>
    </x:row>
    <x:row r="39" ht="66" customHeight="1">
      <x:c r="A39" s="35" t="s">
        <x:v>144</x:v>
      </x:c>
      <x:c r="B39" s="35" t="s">
        <x:v>145</x:v>
      </x:c>
      <x:c r="C39" s="11"/>
      <x:c r="D39" s="11" t="s">
        <x:v>146</x:v>
      </x:c>
      <x:c r="E39" s="11" t="s">
        <x:v>147</x:v>
      </x:c>
      <x:c r="F39" s="11" t="s">
        <x:v>148</x:v>
      </x:c>
      <x:c r="G39" s="11" t="s">
        <x:v>149</x:v>
      </x:c>
    </x:row>
    <x:row r="40" ht="54.75" customHeight="1">
      <x:c r="A40" s="11" t="s">
        <x:v>150</x:v>
      </x:c>
      <x:c r="B40" s="11" t="s">
        <x:v>74</x:v>
      </x:c>
      <x:c r="C40" s="11"/>
      <x:c r="D40" s="11" t="s">
        <x:v>151</x:v>
      </x:c>
      <x:c r="E40" s="11" t="s">
        <x:v>152</x:v>
      </x:c>
      <x:c r="F40" s="11" t="s">
        <x:v>153</x:v>
      </x:c>
      <x:c r="G40" s="11" t="s">
        <x:v>154</x:v>
      </x:c>
    </x:row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9:C29"/>
    <x:mergeCell ref="D29:G29"/>
    <x:mergeCell ref="A1:G1"/>
    <x:mergeCell ref="A2:G2"/>
    <x:mergeCell ref="A3:G3"/>
    <x:mergeCell ref="A5:G5"/>
    <x:mergeCell ref="A8:C8"/>
    <x:mergeCell ref="D8:G8"/>
    <x:mergeCell ref="A27:G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9" customWidth="1"/>
    <x:col min="2" max="2" width="54" customWidth="1"/>
    <x:col min="3" max="3" width="24" customWidth="1"/>
    <x:col min="4" max="4" width="34" customWidth="1"/>
    <x:col min="5" max="5" width="28" customWidth="1"/>
    <x:col min="6" max="6" width="8.630000114440918" customWidth="1"/>
  </x:cols>
  <x:sheetData>
    <x:row r="1" ht="27" customHeight="1">
      <x:c r="A1" s="1" t="s">
        <x:v>155</x:v>
      </x:c>
    </x:row>
    <x:row r="2" ht="40.5" customHeight="1">
      <x:c r="A2" s="2"/>
      <x:c r="B2" s="3"/>
      <x:c r="C2" s="3"/>
      <x:c r="D2" s="3"/>
      <x:c r="E2" s="4"/>
    </x:row>
    <x:row r="3" ht="36" customHeight="1">
      <x:c r="A3" s="5"/>
      <x:c r="B3" s="3"/>
      <x:c r="C3" s="3"/>
      <x:c r="D3" s="3"/>
      <x:c r="E3" s="4"/>
    </x:row>
    <x:row r="4">
      <x:c r="A4" s="6" t="s">
        <x:v>156</x:v>
      </x:c>
      <x:c r="B4" s="6" t="s">
        <x:v>157</x:v>
      </x:c>
      <x:c r="C4" s="6" t="s">
        <x:v>158</x:v>
      </x:c>
      <x:c r="D4" s="6" t="s">
        <x:v>159</x:v>
      </x:c>
      <x:c r="E4" s="6" t="s">
        <x:v>160</x:v>
      </x:c>
    </x:row>
    <x:row r="5">
      <x:c r="A5" s="12">
        <x:v>1.0</x:v>
      </x:c>
      <x:c r="B5" s="11" t="s">
        <x:v>161</x:v>
      </x:c>
      <x:c r="C5" s="11" t="s">
        <x:v>162</x:v>
      </x:c>
      <x:c r="D5" s="11"/>
      <x:c r="E5" s="12" t="str">
        <x:f>IF(A5="","",IF(B5="","Заполните формулировку",IF(C5="","Заполните статус",IF(AND(C5&lt;&gt;"Passed",C5&lt;&gt;"Failed",C5&lt;&gt;"Blocked"),"Статус неверен",IF(AND(C5="Failed",OR(D5="",COUNTIFS('Баг-репорты'!$A$5:$A$24,TRIM(D5),'Баг-репорты'!$I$5:$I$24,"Готово")=0)),"Связь статуса и ID баг-репорта неверна",IF(AND(C5="Passed",D5&lt;&gt;""),"Связь статуса и ID баг-репорта неверна",IF(AND(C5="Blocked",D5=""),"Укажите причину Blocked","Готово")))))))</x:f>
        <x:v>Готово</x:v>
      </x:c>
    </x:row>
    <x:row r="6">
      <x:c r="A6" s="12">
        <x:v>2.0</x:v>
      </x:c>
      <x:c r="B6" s="11" t="s">
        <x:v>163</x:v>
      </x:c>
      <x:c r="C6" s="11" t="s">
        <x:v>164</x:v>
      </x:c>
      <x:c r="D6" s="18" t="s">
        <x:v>165</x:v>
      </x:c>
      <x:c r="E6" s="12" t="str">
        <x:f>IF(A6="","",IF(B6="","Заполните формулировку",IF(C6="","Заполните статус",IF(AND(C6&lt;&gt;"Passed",C6&lt;&gt;"Failed",C6&lt;&gt;"Blocked"),"Статус неверен",IF(AND(C6="Failed",OR(D6="",COUNTIFS('Баг-репорты'!$A$5:$A$24,TRIM(D6),'Баг-репорты'!$I$5:$I$24,"Готово")=0)),"Связь статуса и ID баг-репорта неверна",IF(AND(C6="Passed",D6&lt;&gt;""),"Связь статуса и ID баг-репорта неверна",IF(AND(C6="Blocked",D6=""),"Укажите причину Blocked","Готово")))))))</x:f>
        <x:v>Готово</x:v>
      </x:c>
    </x:row>
    <x:row r="7">
      <x:c r="A7" s="12">
        <x:v>3.0</x:v>
      </x:c>
      <x:c r="B7" s="11" t="s">
        <x:v>166</x:v>
      </x:c>
      <x:c r="C7" s="11" t="s">
        <x:v>164</x:v>
      </x:c>
      <x:c r="D7" s="20" t="s">
        <x:v>167</x:v>
      </x:c>
      <x:c r="E7" s="12" t="str">
        <x:f>IF(A7="","",IF(B7="","Заполните формулировку",IF(C7="","Заполните статус",IF(AND(C7&lt;&gt;"Passed",C7&lt;&gt;"Failed",C7&lt;&gt;"Blocked"),"Статус неверен",IF(AND(C7="Failed",OR(D7="",COUNTIFS('Баг-репорты'!$A$5:$A$24,TRIM(D7),'Баг-репорты'!$I$5:$I$24,"Готово")=0)),"Связь статуса и ID баг-репорта неверна",IF(AND(C7="Passed",D7&lt;&gt;""),"Связь статуса и ID баг-репорта неверна",IF(AND(C7="Blocked",D7=""),"Укажите причину Blocked","Готово")))))))</x:f>
        <x:v>Готово</x:v>
      </x:c>
    </x:row>
    <x:row r="8">
      <x:c r="A8" s="12">
        <x:v>4.0</x:v>
      </x:c>
      <x:c r="B8" s="11" t="s">
        <x:v>168</x:v>
      </x:c>
      <x:c r="C8" s="11" t="s">
        <x:v>162</x:v>
      </x:c>
      <x:c r="D8" s="11"/>
      <x:c r="E8" s="12" t="str">
        <x:f>IF(A8="","",IF(B8="","Заполните формулировку",IF(C8="","Заполните статус",IF(AND(C8&lt;&gt;"Passed",C8&lt;&gt;"Failed",C8&lt;&gt;"Blocked"),"Статус неверен",IF(AND(C8="Failed",OR(D8="",COUNTIFS('Баг-репорты'!$A$5:$A$24,TRIM(D8),'Баг-репорты'!$I$5:$I$24,"Готово")=0)),"Связь статуса и ID баг-репорта неверна",IF(AND(C8="Passed",D8&lt;&gt;""),"Связь статуса и ID баг-репорта неверна",IF(AND(C8="Blocked",D8=""),"Укажите причину Blocked","Готово")))))))</x:f>
        <x:v>Готово</x:v>
      </x:c>
    </x:row>
    <x:row r="9">
      <x:c r="A9" s="12">
        <x:v>5.0</x:v>
      </x:c>
      <x:c r="B9" s="11" t="s">
        <x:v>169</x:v>
      </x:c>
      <x:c r="C9" s="11" t="s">
        <x:v>162</x:v>
      </x:c>
      <x:c r="D9" s="11"/>
      <x:c r="E9" s="12" t="str">
        <x:f>IF(A9="","",IF(B9="","Заполните формулировку",IF(C9="","Заполните статус",IF(AND(C9&lt;&gt;"Passed",C9&lt;&gt;"Failed",C9&lt;&gt;"Blocked"),"Статус неверен",IF(AND(C9="Failed",OR(D9="",COUNTIFS('Баг-репорты'!$A$5:$A$24,TRIM(D9),'Баг-репорты'!$I$5:$I$24,"Готово")=0)),"Связь статуса и ID баг-репорта неверна",IF(AND(C9="Passed",D9&lt;&gt;""),"Связь статуса и ID баг-репорта неверна",IF(AND(C9="Blocked",D9=""),"Укажите причину Blocked","Готово")))))))</x:f>
        <x:v>Готово</x:v>
      </x:c>
    </x:row>
    <x:row r="10" ht="108" customHeight="1">
      <x:c r="A10" s="36">
        <x:v>6.0</x:v>
      </x:c>
      <x:c r="B10" s="35" t="s">
        <x:v>170</x:v>
      </x:c>
      <x:c r="C10" s="11" t="s">
        <x:v>162</x:v>
      </x:c>
      <x:c r="D10" s="11"/>
      <x:c r="E10" s="12" t="str">
        <x:f>IF(A10="","",IF(B10="","Заполните формулировку",IF(C10="","Заполните статус",IF(AND(C10&lt;&gt;"Passed",C10&lt;&gt;"Failed",C10&lt;&gt;"Blocked"),"Статус неверен",IF(AND(C10="Failed",OR(D10="",COUNTIFS('Баг-репорты'!$A$5:$A$24,TRIM(D10),'Баг-репорты'!$I$5:$I$24,"Готово")=0)),"Связь статуса и ID баг-репорта неверна",IF(AND(C10="Passed",D10&lt;&gt;""),"Связь статуса и ID баг-репорта неверна",IF(AND(C10="Blocked",D10=""),"Укажите причину Blocked","Готово")))))))</x:f>
        <x:v>Готово</x:v>
      </x:c>
    </x:row>
    <x:row r="11" ht="108" customHeight="1">
      <x:c r="A11" s="36">
        <x:v>7.0</x:v>
      </x:c>
      <x:c r="B11" s="35" t="s">
        <x:v>171</x:v>
      </x:c>
      <x:c r="C11" s="11" t="s">
        <x:v>162</x:v>
      </x:c>
      <x:c r="D11" s="11"/>
      <x:c r="E11" s="12" t="str">
        <x:f>IF(A11="","",IF(B11="","Заполните формулировку",IF(C11="","Заполните статус",IF(AND(C11&lt;&gt;"Passed",C11&lt;&gt;"Failed",C11&lt;&gt;"Blocked"),"Статус неверен",IF(AND(C11="Failed",OR(D11="",COUNTIFS('Баг-репорты'!$A$5:$A$24,TRIM(D11),'Баг-репорты'!$I$5:$I$24,"Готово")=0)),"Связь статуса и ID баг-репорта неверна",IF(AND(C11="Passed",D11&lt;&gt;""),"Связь статуса и ID баг-репорта неверна",IF(AND(C11="Blocked",D11=""),"Укажите причину Blocked","Готово")))))))</x:f>
        <x:v>Готово</x:v>
      </x:c>
    </x:row>
    <x:row r="12">
      <x:c r="A12" s="8"/>
      <x:c r="B12" s="8"/>
      <x:c r="C12" s="8"/>
      <x:c r="D12" s="8"/>
      <x:c r="E12" s="8"/>
    </x:row>
    <x:row r="13">
      <x:c r="A13" s="8"/>
      <x:c r="B13" s="8"/>
      <x:c r="C13" s="8"/>
      <x:c r="D13" s="8"/>
      <x:c r="E13" s="8"/>
    </x:row>
    <x:row r="14">
      <x:c r="A14" s="8"/>
      <x:c r="B14" s="8"/>
      <x:c r="C14" s="8"/>
      <x:c r="D14" s="8"/>
      <x:c r="E14" s="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  <x:mergeCell ref="A3:E3"/>
  </x:mergeCells>
  <x:conditionalFormatting sqref="C5:C11">
    <x:cfRule type="expression" dxfId="0" priority="1">
      <x:formula>AND($A5&lt;&gt;"",$C5="")</x:formula>
    </x:cfRule>
  </x:conditionalFormatting>
  <x:conditionalFormatting sqref="C5:C11">
    <x:cfRule type="expression" dxfId="1" priority="2">
      <x:formula>AND($A5&lt;&gt;"",$C5="Passed")</x:formula>
    </x:cfRule>
  </x:conditionalFormatting>
  <x:conditionalFormatting sqref="C5:C11">
    <x:cfRule type="expression" dxfId="2" priority="3">
      <x:formula>AND($A5&lt;&gt;"",$C5="Failed")</x:formula>
    </x:cfRule>
  </x:conditionalFormatting>
  <x:conditionalFormatting sqref="C5:C11">
    <x:cfRule type="expression" dxfId="3" priority="4">
      <x:formula>AND($A5&lt;&gt;"",$C5="Blocked")</x:formula>
    </x:cfRule>
  </x:conditionalFormatting>
  <x:conditionalFormatting sqref="C5:C11">
    <x:cfRule type="expression" dxfId="4" priority="5">
      <x:formula>AND($A5&lt;&gt;"",$C5="Skipped")</x:formula>
    </x:cfRule>
  </x:conditionalFormatting>
  <x:conditionalFormatting sqref="C5:C11">
    <x:cfRule type="expression" dxfId="5" priority="6">
      <x:formula>AND($A5&lt;&gt;"",$C5&lt;&gt;"",$C5&lt;&gt;"Passed",$C5&lt;&gt;"Failed",$C5&lt;&gt;"Blocked")</x:formula>
    </x:cfRule>
  </x:conditionalFormatting>
  <x:conditionalFormatting sqref="E5:E11">
    <x:cfRule type="containsText" dxfId="1" priority="7" operator="containsText" text="Готово">
      <x:formula>NOT(ISERROR(SEARCH(("Готово"),(E5))))</x:formula>
    </x:cfRule>
  </x:conditionalFormatting>
  <x:conditionalFormatting sqref="E5:E11">
    <x:cfRule type="containsText" dxfId="3" priority="8" operator="containsText" text="Нужно">
      <x:formula>NOT(ISERROR(SEARCH(("Нужно"),(E5))))</x:formula>
    </x:cfRule>
  </x:conditionalFormatting>
  <x:conditionalFormatting sqref="E5:E11">
    <x:cfRule type="containsText" dxfId="5" priority="9" operator="containsText" text="неверен">
      <x:formula>NOT(ISERROR(SEARCH(("неверен"),(E5))))</x:formula>
    </x:cfRule>
  </x:conditionalFormatting>
  <x:conditionalFormatting sqref="E5:E11">
    <x:cfRule type="containsText" dxfId="6" priority="10" operator="containsText" text="Заполните">
      <x:formula>NOT(ISERROR(SEARCH(("Заполните"),(E5))))</x:formula>
    </x:cfRule>
  </x:conditionalFormatting>
  <x:dataValidations count="1">
    <x:dataValidation type="list" allowBlank="1" sqref="C5:C11">
      <x:formula1>"Passed,Failed,Blocked,Skipped"</x:formula1>
    </x:dataValidation>
  </x:dataValidations>
  <x:hyperlinks>
    <x:hyperlink ref="D6" location="'Баг-репорты'!A5"/>
    <x:hyperlink ref="D7" location="'Баг-репорты'!A6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ColWidth="12.630000114440918" defaultRowHeight="15"/>
  <x:cols>
    <x:col min="1" max="1" width="8" customWidth="1"/>
    <x:col min="2" max="2" width="14" customWidth="1"/>
    <x:col min="3" max="3" width="18" customWidth="1"/>
    <x:col min="4" max="4" width="64" customWidth="1"/>
    <x:col min="5" max="7" width="22" customWidth="1"/>
    <x:col min="8" max="8" width="34" customWidth="1"/>
    <x:col min="9" max="9" width="28" customWidth="1"/>
    <x:col min="10" max="10" width="30" customWidth="1"/>
  </x:cols>
  <x:sheetData>
    <x:row r="1" ht="27" customHeight="1">
      <x:c r="A1" s="1" t="s">
        <x:v>172</x:v>
      </x:c>
    </x:row>
    <x:row r="2" ht="40.5" customHeight="1">
      <x:c r="A2" s="2"/>
      <x:c r="B2" s="3"/>
      <x:c r="C2" s="3"/>
      <x:c r="D2" s="3"/>
      <x:c r="E2" s="3"/>
      <x:c r="F2" s="3"/>
      <x:c r="G2" s="3"/>
      <x:c r="H2" s="3"/>
      <x:c r="I2" s="3"/>
      <x:c r="J2" s="4"/>
    </x:row>
    <x:row r="3" ht="36" customHeight="1">
      <x:c r="A3" s="5"/>
      <x:c r="B3" s="3"/>
      <x:c r="C3" s="3"/>
      <x:c r="D3" s="3"/>
      <x:c r="E3" s="3"/>
      <x:c r="F3" s="3"/>
      <x:c r="G3" s="3"/>
      <x:c r="H3" s="3"/>
      <x:c r="I3" s="3"/>
      <x:c r="J3" s="4"/>
    </x:row>
    <x:row r="4">
      <x:c r="A4" s="6" t="s">
        <x:v>173</x:v>
      </x:c>
      <x:c r="B4" s="6" t="s">
        <x:v>174</x:v>
      </x:c>
      <x:c r="C4" s="6" t="s">
        <x:v>175</x:v>
      </x:c>
      <x:c r="D4" s="6" t="s">
        <x:v>176</x:v>
      </x:c>
      <x:c r="E4" s="6" t="s">
        <x:v>177</x:v>
      </x:c>
      <x:c r="F4" s="6" t="s">
        <x:v>178</x:v>
      </x:c>
      <x:c r="G4" s="6" t="s">
        <x:v>179</x:v>
      </x:c>
      <x:c r="H4" s="6" t="s">
        <x:v>159</x:v>
      </x:c>
      <x:c r="I4" s="6" t="s">
        <x:v>180</x:v>
      </x:c>
      <x:c r="J4" s="6" t="s">
        <x:v>160</x:v>
      </x:c>
    </x:row>
    <x:row r="5" ht="21" customHeight="1">
      <x:c r="A5" s="9" t="s">
        <x:v>181</x:v>
      </x:c>
      <x:c r="B5" s="3"/>
      <x:c r="C5" s="3"/>
      <x:c r="D5" s="3"/>
      <x:c r="E5" s="3"/>
      <x:c r="F5" s="3"/>
      <x:c r="G5" s="3"/>
      <x:c r="H5" s="3"/>
      <x:c r="I5" s="3"/>
      <x:c r="J5" s="4"/>
    </x:row>
    <x:row r="6">
      <x:c r="A6" s="12">
        <x:v>1.0</x:v>
      </x:c>
      <x:c r="B6" s="11">
        <x:v>1.0</x:v>
      </x:c>
      <x:c r="C6" s="12" t="s">
        <x:v>182</x:v>
      </x:c>
      <x:c r="D6" s="12" t="s">
        <x:v>183</x:v>
      </x:c>
      <x:c r="E6" s="11" t="s">
        <x:v>184</x:v>
      </x:c>
      <x:c r="F6" s="11" t="s">
        <x:v>184</x:v>
      </x:c>
      <x:c r="G6" s="11" t="s">
        <x:v>185</x:v>
      </x:c>
      <x:c r="H6" s="11"/>
      <x:c r="I6" s="11"/>
      <x:c r="J6" s="12"/>
    </x:row>
    <x:row r="7">
      <x:c r="A7" s="12">
        <x:v>2.0</x:v>
      </x:c>
      <x:c r="B7" s="11">
        <x:v>2.0</x:v>
      </x:c>
      <x:c r="C7" s="12" t="s">
        <x:v>182</x:v>
      </x:c>
      <x:c r="D7" s="12" t="s">
        <x:v>186</x:v>
      </x:c>
      <x:c r="E7" s="11" t="s">
        <x:v>187</x:v>
      </x:c>
      <x:c r="F7" s="11" t="s">
        <x:v>187</x:v>
      </x:c>
      <x:c r="G7" s="11" t="s">
        <x:v>185</x:v>
      </x:c>
      <x:c r="H7" s="16" t="s">
        <x:v>188</x:v>
      </x:c>
      <x:c r="I7" s="11"/>
      <x:c r="J7" s="12" t="str">
        <x:f>IF(AND(A7="",C7=""),"",IF(AND(C7="Критический путь",B7=""),"Нет порядка выполнения для критического пути",IF(AND(B7&lt;&gt;"",COUNTBLANK(E7:G7)=3),"Заполните статус",IF(OR(AND(E7&lt;&gt;"",E7&lt;&gt;"Passed",E7&lt;&gt;"Failed",E7&lt;&gt;"Blocked",E7&lt;&gt;"Skipped",E7&lt;&gt;"PASSED",E7&lt;&gt;"FAILED",E7&lt;&gt;"BLOCKED",E7&lt;&gt;"SKIPPED"),AND(F7&lt;&gt;"",F7&lt;&gt;"Passed",F7&lt;&gt;"Failed",F7&lt;&gt;"Blocked",F7&lt;&gt;"Skipped",F7&lt;&gt;"PASSED",F7&lt;&gt;"FAILED",F7&lt;&gt;"BLOCKED",F7&lt;&gt;"SKIPPED"),AND(G7&lt;&gt;"",G7&lt;&gt;"Passed",G7&lt;&gt;"Failed",G7&lt;&gt;"Blocked",G7&lt;&gt;"Skipped",G7&lt;&gt;"PASSED",G7&lt;&gt;"FAILED",G7&lt;&gt;"BLOCKED",G7&lt;&gt;"SKIPPED")),"Статус неверен",IF(AND(COUNTIF(E7:G7,"Failed")+COUNTIF(E7:G7,"FAILED")&gt;0,OR(H7="",COUNTIFS('Баг-репорты'!$A$5:$A$24,TRIM(H7),'Баг-репорты'!$I$5:$I$24,"Готово")=0)),"Связь статуса и ID баг-репорта неверна",IF(AND(COUNTIF(E7:G7,"Blocked")+COUNTIF(E7:G7,"BLOCKED")&gt;0,H7=""),"Укажите причину Blocked",IF(AND(COUNTIF(E7:G7,"Failed")+COUNTIF(E7:G7,"FAILED")=0,COUNTIF(E7:G7,"Blocked")+COUNTIF(E7:G7,"BLOCKED")=0,H7&lt;&gt;""),"Связь статуса и ID баг-репорта неверна","Готово")))))))</x:f>
        <x:v>Готово</x:v>
      </x:c>
    </x:row>
    <x:row r="8" ht="142.5" customHeight="1">
      <x:c r="A8" s="12">
        <x:v>3.0</x:v>
      </x:c>
      <x:c r="B8" s="11">
        <x:v>27.0</x:v>
      </x:c>
      <x:c r="C8" s="12" t="s">
        <x:v>189</x:v>
      </x:c>
      <x:c r="D8" s="12" t="s">
        <x:v>190</x:v>
      </x:c>
      <x:c r="E8" s="11" t="s">
        <x:v>184</x:v>
      </x:c>
      <x:c r="F8" s="11" t="s">
        <x:v>184</x:v>
      </x:c>
      <x:c r="G8" s="11" t="s">
        <x:v>185</x:v>
      </x:c>
      <x:c r="H8" s="11"/>
      <x:c r="I8" s="11"/>
      <x:c r="J8" s="12" t="str">
        <x:f>IF(AND(A8="",C8=""),"",IF(AND(C8="Критический путь",B8=""),"Нет порядка выполнения для критического пути",IF(AND(B8&lt;&gt;"",COUNTBLANK(E8:G8)=3),"Заполните статус",IF(OR(AND(E8&lt;&gt;"",E8&lt;&gt;"Passed",E8&lt;&gt;"Failed",E8&lt;&gt;"Blocked",E8&lt;&gt;"Skipped",E8&lt;&gt;"PASSED",E8&lt;&gt;"FAILED",E8&lt;&gt;"BLOCKED",E8&lt;&gt;"SKIPPED"),AND(F8&lt;&gt;"",F8&lt;&gt;"Passed",F8&lt;&gt;"Failed",F8&lt;&gt;"Blocked",F8&lt;&gt;"Skipped",F8&lt;&gt;"PASSED",F8&lt;&gt;"FAILED",F8&lt;&gt;"BLOCKED",F8&lt;&gt;"SKIPPED"),AND(G8&lt;&gt;"",G8&lt;&gt;"Passed",G8&lt;&gt;"Failed",G8&lt;&gt;"Blocked",G8&lt;&gt;"Skipped",G8&lt;&gt;"PASSED",G8&lt;&gt;"FAILED",G8&lt;&gt;"BLOCKED",G8&lt;&gt;"SKIPPED")),"Статус неверен",IF(AND(COUNTIF(E8:G8,"Failed")+COUNTIF(E8:G8,"FAILED")&gt;0,OR(H8="",COUNTIFS('Баг-репорты'!$A$5:$A$24,TRIM(H8),'Баг-репорты'!$I$5:$I$24,"Готово")=0)),"Связь статуса и ID баг-репорта неверна",IF(AND(COUNTIF(E8:G8,"Blocked")+COUNTIF(E8:G8,"BLOCKED")&gt;0,H8=""),"Укажите причину Blocked",IF(AND(COUNTIF(E8:G8,"Failed")+COUNTIF(E8:G8,"FAILED")=0,COUNTIF(E8:G8,"Blocked")+COUNTIF(E8:G8,"BLOCKED")=0,H8&lt;&gt;""),"Связь статуса и ID баг-репорта неверна","Готово")))))))</x:f>
        <x:v>Готово</x:v>
      </x:c>
    </x:row>
    <x:row r="9" ht="115.5" customHeight="1">
      <x:c r="A9" s="12">
        <x:v>4.0</x:v>
      </x:c>
      <x:c r="B9" s="11">
        <x:v>28.0</x:v>
      </x:c>
      <x:c r="C9" s="12" t="s">
        <x:v>189</x:v>
      </x:c>
      <x:c r="D9" s="12" t="s">
        <x:v>191</x:v>
      </x:c>
      <x:c r="E9" s="11" t="s">
        <x:v>184</x:v>
      </x:c>
      <x:c r="F9" s="11" t="s">
        <x:v>184</x:v>
      </x:c>
      <x:c r="G9" s="11" t="s">
        <x:v>185</x:v>
      </x:c>
      <x:c r="H9" s="11"/>
      <x:c r="I9" s="11"/>
      <x:c r="J9" s="12" t="str">
        <x:f>IF(AND(A9="",C9=""),"",IF(AND(C9="Критический путь",B9=""),"Нет порядка выполнения для критического пути",IF(AND(B9&lt;&gt;"",COUNTBLANK(E9:G9)=3),"Заполните статус",IF(OR(AND(E9&lt;&gt;"",E9&lt;&gt;"Passed",E9&lt;&gt;"Failed",E9&lt;&gt;"Blocked",E9&lt;&gt;"Skipped",E9&lt;&gt;"PASSED",E9&lt;&gt;"FAILED",E9&lt;&gt;"BLOCKED",E9&lt;&gt;"SKIPPED"),AND(F9&lt;&gt;"",F9&lt;&gt;"Passed",F9&lt;&gt;"Failed",F9&lt;&gt;"Blocked",F9&lt;&gt;"Skipped",F9&lt;&gt;"PASSED",F9&lt;&gt;"FAILED",F9&lt;&gt;"BLOCKED",F9&lt;&gt;"SKIPPED"),AND(G9&lt;&gt;"",G9&lt;&gt;"Passed",G9&lt;&gt;"Failed",G9&lt;&gt;"Blocked",G9&lt;&gt;"Skipped",G9&lt;&gt;"PASSED",G9&lt;&gt;"FAILED",G9&lt;&gt;"BLOCKED",G9&lt;&gt;"SKIPPED")),"Статус неверен",IF(AND(COUNTIF(E9:G9,"Failed")+COUNTIF(E9:G9,"FAILED")&gt;0,OR(H9="",COUNTIFS('Баг-репорты'!$A$5:$A$24,TRIM(H9),'Баг-репорты'!$I$5:$I$24,"Готово")=0)),"Связь статуса и ID баг-репорта неверна",IF(AND(COUNTIF(E9:G9,"Blocked")+COUNTIF(E9:G9,"BLOCKED")&gt;0,H9=""),"Укажите причину Blocked",IF(AND(COUNTIF(E9:G9,"Failed")+COUNTIF(E9:G9,"FAILED")=0,COUNTIF(E9:G9,"Blocked")+COUNTIF(E9:G9,"BLOCKED")=0,H9&lt;&gt;""),"Связь статуса и ID баг-репорта неверна","Готово")))))))</x:f>
        <x:v>Готово</x:v>
      </x:c>
    </x:row>
    <x:row r="10" ht="43.5" customHeight="1">
      <x:c r="A10" s="12">
        <x:v>5.0</x:v>
      </x:c>
      <x:c r="B10" s="11">
        <x:v>20.0</x:v>
      </x:c>
      <x:c r="C10" s="12" t="s">
        <x:v>192</x:v>
      </x:c>
      <x:c r="D10" s="12" t="s">
        <x:v>193</x:v>
      </x:c>
      <x:c r="E10" s="11" t="s">
        <x:v>187</x:v>
      </x:c>
      <x:c r="F10" s="11" t="s">
        <x:v>187</x:v>
      </x:c>
      <x:c r="G10" s="11" t="s">
        <x:v>185</x:v>
      </x:c>
      <x:c r="H10" s="16" t="s">
        <x:v>194</x:v>
      </x:c>
      <x:c r="I10" s="11"/>
      <x:c r="J10" s="12" t="str">
        <x:f>IF(AND(A10="",C10=""),"",IF(AND(C10="Критический путь",B10=""),"Нет порядка выполнения для критического пути",IF(AND(B10&lt;&gt;"",COUNTBLANK(E10:G10)=3),"Заполните статус",IF(OR(AND(E10&lt;&gt;"",E10&lt;&gt;"Passed",E10&lt;&gt;"Failed",E10&lt;&gt;"Blocked",E10&lt;&gt;"Skipped",E10&lt;&gt;"PASSED",E10&lt;&gt;"FAILED",E10&lt;&gt;"BLOCKED",E10&lt;&gt;"SKIPPED"),AND(F10&lt;&gt;"",F10&lt;&gt;"Passed",F10&lt;&gt;"Failed",F10&lt;&gt;"Blocked",F10&lt;&gt;"Skipped",F10&lt;&gt;"PASSED",F10&lt;&gt;"FAILED",F10&lt;&gt;"BLOCKED",F10&lt;&gt;"SKIPPED"),AND(G10&lt;&gt;"",G10&lt;&gt;"Passed",G10&lt;&gt;"Failed",G10&lt;&gt;"Blocked",G10&lt;&gt;"Skipped",G10&lt;&gt;"PASSED",G10&lt;&gt;"FAILED",G10&lt;&gt;"BLOCKED",G10&lt;&gt;"SKIPPED")),"Статус неверен",IF(AND(COUNTIF(E10:G10,"Failed")+COUNTIF(E10:G10,"FAILED")&gt;0,OR(H10="",COUNTIFS('Баг-репорты'!$A$5:$A$24,TRIM(H10),'Баг-репорты'!$I$5:$I$24,"Готово")=0)),"Связь статуса и ID баг-репорта неверна",IF(AND(COUNTIF(E10:G10,"Blocked")+COUNTIF(E10:G10,"BLOCKED")&gt;0,H10=""),"Укажите причину Blocked",IF(AND(COUNTIF(E10:G10,"Failed")+COUNTIF(E10:G10,"FAILED")=0,COUNTIF(E10:G10,"Blocked")+COUNTIF(E10:G10,"BLOCKED")=0,H10&lt;&gt;""),"Связь статуса и ID баг-репорта неверна","Готово")))))))</x:f>
        <x:v>Готово</x:v>
      </x:c>
    </x:row>
    <x:row r="11" ht="90" customHeight="1">
      <x:c r="A11" s="12">
        <x:v>6.0</x:v>
      </x:c>
      <x:c r="B11" s="11">
        <x:v>29.0</x:v>
      </x:c>
      <x:c r="C11" s="12" t="s">
        <x:v>189</x:v>
      </x:c>
      <x:c r="D11" s="12" t="s">
        <x:v>195</x:v>
      </x:c>
      <x:c r="E11" s="11" t="s">
        <x:v>196</x:v>
      </x:c>
      <x:c r="F11" s="11" t="s">
        <x:v>196</x:v>
      </x:c>
      <x:c r="G11" s="11" t="s">
        <x:v>185</x:v>
      </x:c>
      <x:c r="H11" s="11" t="s">
        <x:v>197</x:v>
      </x:c>
      <x:c r="I11" s="11"/>
      <x:c r="J11" s="12" t="str">
        <x:f>IF(AND(A11="",C11=""),"",IF(AND(C11="Критический путь",B11=""),"Нет порядка выполнения для критического пути",IF(AND(B11&lt;&gt;"",COUNTBLANK(E11:G11)=3),"Заполните статус",IF(OR(AND(E11&lt;&gt;"",E11&lt;&gt;"Passed",E11&lt;&gt;"Failed",E11&lt;&gt;"Blocked",E11&lt;&gt;"Skipped",E11&lt;&gt;"PASSED",E11&lt;&gt;"FAILED",E11&lt;&gt;"BLOCKED",E11&lt;&gt;"SKIPPED"),AND(F11&lt;&gt;"",F11&lt;&gt;"Passed",F11&lt;&gt;"Failed",F11&lt;&gt;"Blocked",F11&lt;&gt;"Skipped",F11&lt;&gt;"PASSED",F11&lt;&gt;"FAILED",F11&lt;&gt;"BLOCKED",F11&lt;&gt;"SKIPPED"),AND(G11&lt;&gt;"",G11&lt;&gt;"Passed",G11&lt;&gt;"Failed",G11&lt;&gt;"Blocked",G11&lt;&gt;"Skipped",G11&lt;&gt;"PASSED",G11&lt;&gt;"FAILED",G11&lt;&gt;"BLOCKED",G11&lt;&gt;"SKIPPED")),"Статус неверен",IF(AND(COUNTIF(E11:G11,"Failed")+COUNTIF(E11:G11,"FAILED")&gt;0,OR(H11="",COUNTIFS('Баг-репорты'!$A$5:$A$24,TRIM(H11),'Баг-репорты'!$I$5:$I$24,"Готово")=0)),"Связь статуса и ID баг-репорта неверна",IF(AND(COUNTIF(E11:G11,"Blocked")+COUNTIF(E11:G11,"BLOCKED")&gt;0,H11=""),"Укажите причину Blocked",IF(AND(COUNTIF(E11:G11,"Failed")+COUNTIF(E11:G11,"FAILED")=0,COUNTIF(E11:G11,"Blocked")+COUNTIF(E11:G11,"BLOCKED")=0,H11&lt;&gt;""),"Связь статуса и ID баг-репорта неверна","Готово")))))))</x:f>
        <x:v>Готово</x:v>
      </x:c>
    </x:row>
    <x:row r="12" ht="86.25" customHeight="1">
      <x:c r="A12" s="12">
        <x:v>7.0</x:v>
      </x:c>
      <x:c r="B12" s="11">
        <x:v>30.0</x:v>
      </x:c>
      <x:c r="C12" s="12" t="s">
        <x:v>189</x:v>
      </x:c>
      <x:c r="D12" s="12" t="s">
        <x:v>198</x:v>
      </x:c>
      <x:c r="E12" s="11" t="s">
        <x:v>196</x:v>
      </x:c>
      <x:c r="F12" s="11" t="s">
        <x:v>196</x:v>
      </x:c>
      <x:c r="G12" s="11" t="s">
        <x:v>185</x:v>
      </x:c>
      <x:c r="H12" s="11" t="s">
        <x:v>199</x:v>
      </x:c>
      <x:c r="I12" s="11"/>
      <x:c r="J12" s="12" t="str">
        <x:f>IF(AND(A12="",C12=""),"",IF(AND(C12="Критический путь",B12=""),"Нет порядка выполнения для критического пути",IF(AND(B12&lt;&gt;"",COUNTBLANK(E12:G12)=3),"Заполните статус",IF(OR(AND(E12&lt;&gt;"",E12&lt;&gt;"Passed",E12&lt;&gt;"Failed",E12&lt;&gt;"Blocked",E12&lt;&gt;"Skipped",E12&lt;&gt;"PASSED",E12&lt;&gt;"FAILED",E12&lt;&gt;"BLOCKED",E12&lt;&gt;"SKIPPED"),AND(F12&lt;&gt;"",F12&lt;&gt;"Passed",F12&lt;&gt;"Failed",F12&lt;&gt;"Blocked",F12&lt;&gt;"Skipped",F12&lt;&gt;"PASSED",F12&lt;&gt;"FAILED",F12&lt;&gt;"BLOCKED",F12&lt;&gt;"SKIPPED"),AND(G12&lt;&gt;"",G12&lt;&gt;"Passed",G12&lt;&gt;"Failed",G12&lt;&gt;"Blocked",G12&lt;&gt;"Skipped",G12&lt;&gt;"PASSED",G12&lt;&gt;"FAILED",G12&lt;&gt;"BLOCKED",G12&lt;&gt;"SKIPPED")),"Статус неверен",IF(AND(COUNTIF(E12:G12,"Failed")+COUNTIF(E12:G12,"FAILED")&gt;0,OR(H12="",COUNTIFS('Баг-репорты'!$A$5:$A$24,TRIM(H12),'Баг-репорты'!$I$5:$I$24,"Готово")=0)),"Связь статуса и ID баг-репорта неверна",IF(AND(COUNTIF(E12:G12,"Blocked")+COUNTIF(E12:G12,"BLOCKED")&gt;0,H12=""),"Укажите причину Blocked",IF(AND(COUNTIF(E12:G12,"Failed")+COUNTIF(E12:G12,"FAILED")=0,COUNTIF(E12:G12,"Blocked")+COUNTIF(E12:G12,"BLOCKED")=0,H12&lt;&gt;""),"Связь статуса и ID баг-репорта неверна","Готово")))))))</x:f>
        <x:v>Готово</x:v>
      </x:c>
    </x:row>
    <x:row r="13" ht="46.5" customHeight="1">
      <x:c r="A13" s="12">
        <x:v>8.0</x:v>
      </x:c>
      <x:c r="B13" s="11">
        <x:v>3.0</x:v>
      </x:c>
      <x:c r="C13" s="12" t="s">
        <x:v>182</x:v>
      </x:c>
      <x:c r="D13" s="12" t="s">
        <x:v>200</x:v>
      </x:c>
      <x:c r="E13" s="11" t="s">
        <x:v>187</x:v>
      </x:c>
      <x:c r="F13" s="11" t="s">
        <x:v>187</x:v>
      </x:c>
      <x:c r="G13" s="11" t="s">
        <x:v>185</x:v>
      </x:c>
      <x:c r="H13" s="16" t="s">
        <x:v>165</x:v>
      </x:c>
      <x:c r="I13" s="11"/>
      <x:c r="J13" s="12" t="str">
        <x:f>IF(AND(A13="",C13=""),"",IF(AND(C13="Критический путь",B13=""),"Нет порядка выполнения для критического пути",IF(AND(B13&lt;&gt;"",COUNTBLANK(E13:G13)=3),"Заполните статус",IF(OR(AND(E13&lt;&gt;"",E13&lt;&gt;"Passed",E13&lt;&gt;"Failed",E13&lt;&gt;"Blocked",E13&lt;&gt;"Skipped",E13&lt;&gt;"PASSED",E13&lt;&gt;"FAILED",E13&lt;&gt;"BLOCKED",E13&lt;&gt;"SKIPPED"),AND(F13&lt;&gt;"",F13&lt;&gt;"Passed",F13&lt;&gt;"Failed",F13&lt;&gt;"Blocked",F13&lt;&gt;"Skipped",F13&lt;&gt;"PASSED",F13&lt;&gt;"FAILED",F13&lt;&gt;"BLOCKED",F13&lt;&gt;"SKIPPED"),AND(G13&lt;&gt;"",G13&lt;&gt;"Passed",G13&lt;&gt;"Failed",G13&lt;&gt;"Blocked",G13&lt;&gt;"Skipped",G13&lt;&gt;"PASSED",G13&lt;&gt;"FAILED",G13&lt;&gt;"BLOCKED",G13&lt;&gt;"SKIPPED")),"Статус неверен",IF(AND(COUNTIF(E13:G13,"Failed")+COUNTIF(E13:G13,"FAILED")&gt;0,OR(H13="",COUNTIFS('Баг-репорты'!$A$5:$A$24,TRIM(H13),'Баг-репорты'!$I$5:$I$24,"Готово")=0)),"Связь статуса и ID баг-репорта неверна",IF(AND(COUNTIF(E13:G13,"Blocked")+COUNTIF(E13:G13,"BLOCKED")&gt;0,H13=""),"Укажите причину Blocked",IF(AND(COUNTIF(E13:G13,"Failed")+COUNTIF(E13:G13,"FAILED")=0,COUNTIF(E13:G13,"Blocked")+COUNTIF(E13:G13,"BLOCKED")=0,H13&lt;&gt;""),"Связь статуса и ID баг-репорта неверна","Готово")))))))</x:f>
        <x:v>Готово</x:v>
      </x:c>
    </x:row>
    <x:row r="14">
      <x:c r="A14" s="12">
        <x:v>9.0</x:v>
      </x:c>
      <x:c r="B14" s="11">
        <x:v>4.0</x:v>
      </x:c>
      <x:c r="C14" s="12" t="s">
        <x:v>182</x:v>
      </x:c>
      <x:c r="D14" s="12" t="s">
        <x:v>201</x:v>
      </x:c>
      <x:c r="E14" s="11" t="s">
        <x:v>196</x:v>
      </x:c>
      <x:c r="F14" s="11" t="s">
        <x:v>196</x:v>
      </x:c>
      <x:c r="G14" s="11" t="s">
        <x:v>185</x:v>
      </x:c>
      <x:c r="H14" s="16" t="s">
        <x:v>165</x:v>
      </x:c>
      <x:c r="I14" s="11" t="s">
        <x:v>202</x:v>
      </x:c>
      <x:c r="J14" s="12" t="str">
        <x:f>IF(AND(A14="",C14=""),"",IF(AND(C14="Критический путь",B14=""),"Нет порядка выполнения для критического пути",IF(AND(B14&lt;&gt;"",COUNTBLANK(E14:G14)=3),"Заполните статус",IF(OR(AND(E14&lt;&gt;"",E14&lt;&gt;"Passed",E14&lt;&gt;"Failed",E14&lt;&gt;"Blocked",E14&lt;&gt;"Skipped",E14&lt;&gt;"PASSED",E14&lt;&gt;"FAILED",E14&lt;&gt;"BLOCKED",E14&lt;&gt;"SKIPPED"),AND(F14&lt;&gt;"",F14&lt;&gt;"Passed",F14&lt;&gt;"Failed",F14&lt;&gt;"Blocked",F14&lt;&gt;"Skipped",F14&lt;&gt;"PASSED",F14&lt;&gt;"FAILED",F14&lt;&gt;"BLOCKED",F14&lt;&gt;"SKIPPED"),AND(G14&lt;&gt;"",G14&lt;&gt;"Passed",G14&lt;&gt;"Failed",G14&lt;&gt;"Blocked",G14&lt;&gt;"Skipped",G14&lt;&gt;"PASSED",G14&lt;&gt;"FAILED",G14&lt;&gt;"BLOCKED",G14&lt;&gt;"SKIPPED")),"Статус неверен",IF(AND(COUNTIF(E14:G14,"Failed")+COUNTIF(E14:G14,"FAILED")&gt;0,OR(H14="",COUNTIFS('Баг-репорты'!$A$5:$A$24,TRIM(H14),'Баг-репорты'!$I$5:$I$24,"Готово")=0)),"Связь статуса и ID баг-репорта неверна",IF(AND(COUNTIF(E14:G14,"Blocked")+COUNTIF(E14:G14,"BLOCKED")&gt;0,H14=""),"Укажите причину Blocked",IF(AND(COUNTIF(E14:G14,"Failed")+COUNTIF(E14:G14,"FAILED")=0,COUNTIF(E14:G14,"Blocked")+COUNTIF(E14:G14,"BLOCKED")=0,H14&lt;&gt;""),"Связь статуса и ID баг-репорта неверна","Готово")))))))</x:f>
        <x:v>Готово</x:v>
      </x:c>
    </x:row>
    <x:row r="15" ht="75.75" customHeight="1">
      <x:c r="A15" s="12">
        <x:v>10.0</x:v>
      </x:c>
      <x:c r="B15" s="11">
        <x:v>31.0</x:v>
      </x:c>
      <x:c r="C15" s="12" t="s">
        <x:v>189</x:v>
      </x:c>
      <x:c r="D15" s="12" t="s">
        <x:v>203</x:v>
      </x:c>
      <x:c r="E15" s="11" t="s">
        <x:v>185</x:v>
      </x:c>
      <x:c r="F15" s="11" t="s">
        <x:v>185</x:v>
      </x:c>
      <x:c r="G15" s="11" t="s">
        <x:v>185</x:v>
      </x:c>
      <x:c r="H15" s="11"/>
      <x:c r="I15" s="11"/>
      <x:c r="J15" s="12" t="str">
        <x:f>IF(AND(A15="",C15=""),"",IF(AND(C15="Критический путь",B15=""),"Нет порядка выполнения для критического пути",IF(AND(B15&lt;&gt;"",COUNTBLANK(E15:G15)=3),"Заполните статус",IF(OR(AND(E15&lt;&gt;"",E15&lt;&gt;"Passed",E15&lt;&gt;"Failed",E15&lt;&gt;"Blocked",E15&lt;&gt;"Skipped",E15&lt;&gt;"PASSED",E15&lt;&gt;"FAILED",E15&lt;&gt;"BLOCKED",E15&lt;&gt;"SKIPPED"),AND(F15&lt;&gt;"",F15&lt;&gt;"Passed",F15&lt;&gt;"Failed",F15&lt;&gt;"Blocked",F15&lt;&gt;"Skipped",F15&lt;&gt;"PASSED",F15&lt;&gt;"FAILED",F15&lt;&gt;"BLOCKED",F15&lt;&gt;"SKIPPED"),AND(G15&lt;&gt;"",G15&lt;&gt;"Passed",G15&lt;&gt;"Failed",G15&lt;&gt;"Blocked",G15&lt;&gt;"Skipped",G15&lt;&gt;"PASSED",G15&lt;&gt;"FAILED",G15&lt;&gt;"BLOCKED",G15&lt;&gt;"SKIPPED")),"Статус неверен",IF(AND(COUNTIF(E15:G15,"Failed")+COUNTIF(E15:G15,"FAILED")&gt;0,OR(H15="",COUNTIFS('Баг-репорты'!$A$5:$A$24,TRIM(H15),'Баг-репорты'!$I$5:$I$24,"Готово")=0)),"Связь статуса и ID баг-репорта неверна",IF(AND(COUNTIF(E15:G15,"Blocked")+COUNTIF(E15:G15,"BLOCKED")&gt;0,H15=""),"Укажите причину Blocked",IF(AND(COUNTIF(E15:G15,"Failed")+COUNTIF(E15:G15,"FAILED")=0,COUNTIF(E15:G15,"Blocked")+COUNTIF(E15:G15,"BLOCKED")=0,H15&lt;&gt;""),"Связь статуса и ID баг-репорта неверна","Готово")))))))</x:f>
        <x:v>Готово</x:v>
      </x:c>
    </x:row>
    <x:row r="16" ht="21" customHeight="1">
      <x:c r="A16" s="9" t="s">
        <x:v>204</x:v>
      </x:c>
      <x:c r="B16" s="3"/>
      <x:c r="C16" s="3"/>
      <x:c r="D16" s="3"/>
      <x:c r="E16" s="3"/>
      <x:c r="F16" s="3"/>
      <x:c r="G16" s="3"/>
      <x:c r="H16" s="3"/>
      <x:c r="I16" s="3"/>
      <x:c r="J16" s="4"/>
    </x:row>
    <x:row r="17">
      <x:c r="A17" s="12">
        <x:v>11.0</x:v>
      </x:c>
      <x:c r="B17" s="11">
        <x:v>32.0</x:v>
      </x:c>
      <x:c r="C17" s="12" t="s">
        <x:v>189</x:v>
      </x:c>
      <x:c r="D17" s="12" t="s">
        <x:v>205</x:v>
      </x:c>
      <x:c r="E17" s="11" t="s">
        <x:v>184</x:v>
      </x:c>
      <x:c r="F17" s="11" t="s">
        <x:v>184</x:v>
      </x:c>
      <x:c r="G17" s="11" t="s">
        <x:v>185</x:v>
      </x:c>
      <x:c r="H17" s="11"/>
      <x:c r="I17" s="11"/>
      <x:c r="J17" s="12" t="str">
        <x:f>IF(AND(A17="",C17=""),"",IF(AND(C17="Критический путь",B17=""),"Нет порядка выполнения для критического пути",IF(AND(B17&lt;&gt;"",COUNTBLANK(E17:G17)=3),"Заполните статус",IF(OR(AND(E17&lt;&gt;"",E17&lt;&gt;"Passed",E17&lt;&gt;"Failed",E17&lt;&gt;"Blocked",E17&lt;&gt;"Skipped",E17&lt;&gt;"PASSED",E17&lt;&gt;"FAILED",E17&lt;&gt;"BLOCKED",E17&lt;&gt;"SKIPPED"),AND(F17&lt;&gt;"",F17&lt;&gt;"Passed",F17&lt;&gt;"Failed",F17&lt;&gt;"Blocked",F17&lt;&gt;"Skipped",F17&lt;&gt;"PASSED",F17&lt;&gt;"FAILED",F17&lt;&gt;"BLOCKED",F17&lt;&gt;"SKIPPED"),AND(G17&lt;&gt;"",G17&lt;&gt;"Passed",G17&lt;&gt;"Failed",G17&lt;&gt;"Blocked",G17&lt;&gt;"Skipped",G17&lt;&gt;"PASSED",G17&lt;&gt;"FAILED",G17&lt;&gt;"BLOCKED",G17&lt;&gt;"SKIPPED")),"Статус неверен",IF(AND(COUNTIF(E17:G17,"Failed")+COUNTIF(E17:G17,"FAILED")&gt;0,OR(H17="",COUNTIFS('Баг-репорты'!$A$5:$A$24,TRIM(H17),'Баг-репорты'!$I$5:$I$24,"Готово")=0)),"Связь статуса и ID баг-репорта неверна",IF(AND(COUNTIF(E17:G17,"Blocked")+COUNTIF(E17:G17,"BLOCKED")&gt;0,H17=""),"Укажите причину Blocked",IF(AND(COUNTIF(E17:G17,"Failed")+COUNTIF(E17:G17,"FAILED")=0,COUNTIF(E17:G17,"Blocked")+COUNTIF(E17:G17,"BLOCKED")=0,H17&lt;&gt;""),"Связь статуса и ID баг-репорта неверна","Готово")))))))</x:f>
        <x:v>Готово</x:v>
      </x:c>
    </x:row>
    <x:row r="18" ht="60" customHeight="1">
      <x:c r="A18" s="12">
        <x:v>12.0</x:v>
      </x:c>
      <x:c r="B18" s="11">
        <x:v>33.0</x:v>
      </x:c>
      <x:c r="C18" s="12" t="s">
        <x:v>189</x:v>
      </x:c>
      <x:c r="D18" s="12" t="s">
        <x:v>206</x:v>
      </x:c>
      <x:c r="E18" s="11" t="s">
        <x:v>184</x:v>
      </x:c>
      <x:c r="F18" s="11" t="s">
        <x:v>184</x:v>
      </x:c>
      <x:c r="G18" s="11" t="s">
        <x:v>185</x:v>
      </x:c>
      <x:c r="H18" s="11"/>
      <x:c r="I18" s="11"/>
      <x:c r="J18" s="12" t="str">
        <x:f>IF(AND(A18="",C18=""),"",IF(AND(C18="Критический путь",B18=""),"Нет порядка выполнения для критического пути",IF(AND(B18&lt;&gt;"",COUNTBLANK(E18:G18)=3),"Заполните статус",IF(OR(AND(E18&lt;&gt;"",E18&lt;&gt;"Passed",E18&lt;&gt;"Failed",E18&lt;&gt;"Blocked",E18&lt;&gt;"Skipped",E18&lt;&gt;"PASSED",E18&lt;&gt;"FAILED",E18&lt;&gt;"BLOCKED",E18&lt;&gt;"SKIPPED"),AND(F18&lt;&gt;"",F18&lt;&gt;"Passed",F18&lt;&gt;"Failed",F18&lt;&gt;"Blocked",F18&lt;&gt;"Skipped",F18&lt;&gt;"PASSED",F18&lt;&gt;"FAILED",F18&lt;&gt;"BLOCKED",F18&lt;&gt;"SKIPPED"),AND(G18&lt;&gt;"",G18&lt;&gt;"Passed",G18&lt;&gt;"Failed",G18&lt;&gt;"Blocked",G18&lt;&gt;"Skipped",G18&lt;&gt;"PASSED",G18&lt;&gt;"FAILED",G18&lt;&gt;"BLOCKED",G18&lt;&gt;"SKIPPED")),"Статус неверен",IF(AND(COUNTIF(E18:G18,"Failed")+COUNTIF(E18:G18,"FAILED")&gt;0,OR(H18="",COUNTIFS('Баг-репорты'!$A$5:$A$24,TRIM(H18),'Баг-репорты'!$I$5:$I$24,"Готово")=0)),"Связь статуса и ID баг-репорта неверна",IF(AND(COUNTIF(E18:G18,"Blocked")+COUNTIF(E18:G18,"BLOCKED")&gt;0,H18=""),"Укажите причину Blocked",IF(AND(COUNTIF(E18:G18,"Failed")+COUNTIF(E18:G18,"FAILED")=0,COUNTIF(E18:G18,"Blocked")+COUNTIF(E18:G18,"BLOCKED")=0,H18&lt;&gt;""),"Связь статуса и ID баг-репорта неверна","Готово")))))))</x:f>
        <x:v>Готово</x:v>
      </x:c>
    </x:row>
    <x:row r="19" ht="95.25" customHeight="1">
      <x:c r="A19" s="12">
        <x:v>13.0</x:v>
      </x:c>
      <x:c r="B19" s="11">
        <x:v>5.0</x:v>
      </x:c>
      <x:c r="C19" s="12" t="s">
        <x:v>182</x:v>
      </x:c>
      <x:c r="D19" s="12" t="s">
        <x:v>207</x:v>
      </x:c>
      <x:c r="E19" s="11" t="s">
        <x:v>187</x:v>
      </x:c>
      <x:c r="F19" s="11" t="s">
        <x:v>187</x:v>
      </x:c>
      <x:c r="G19" s="11" t="s">
        <x:v>185</x:v>
      </x:c>
      <x:c r="H19" s="16" t="s">
        <x:v>208</x:v>
      </x:c>
      <x:c r="I19" s="11"/>
      <x:c r="J19" s="12" t="str">
        <x:f>IF(AND(A19="",C19=""),"",IF(AND(C19="Критический путь",B19=""),"Нет порядка выполнения для критического пути",IF(AND(B19&lt;&gt;"",COUNTBLANK(E19:G19)=3),"Заполните статус",IF(OR(AND(E19&lt;&gt;"",E19&lt;&gt;"Passed",E19&lt;&gt;"Failed",E19&lt;&gt;"Blocked",E19&lt;&gt;"Skipped",E19&lt;&gt;"PASSED",E19&lt;&gt;"FAILED",E19&lt;&gt;"BLOCKED",E19&lt;&gt;"SKIPPED"),AND(F19&lt;&gt;"",F19&lt;&gt;"Passed",F19&lt;&gt;"Failed",F19&lt;&gt;"Blocked",F19&lt;&gt;"Skipped",F19&lt;&gt;"PASSED",F19&lt;&gt;"FAILED",F19&lt;&gt;"BLOCKED",F19&lt;&gt;"SKIPPED"),AND(G19&lt;&gt;"",G19&lt;&gt;"Passed",G19&lt;&gt;"Failed",G19&lt;&gt;"Blocked",G19&lt;&gt;"Skipped",G19&lt;&gt;"PASSED",G19&lt;&gt;"FAILED",G19&lt;&gt;"BLOCKED",G19&lt;&gt;"SKIPPED")),"Статус неверен",IF(AND(COUNTIF(E19:G19,"Failed")+COUNTIF(E19:G19,"FAILED")&gt;0,OR(H19="",COUNTIFS('Баг-репорты'!$A$5:$A$24,TRIM(H19),'Баг-репорты'!$I$5:$I$24,"Готово")=0)),"Связь статуса и ID баг-репорта неверна",IF(AND(COUNTIF(E19:G19,"Blocked")+COUNTIF(E19:G19,"BLOCKED")&gt;0,H19=""),"Укажите причину Blocked",IF(AND(COUNTIF(E19:G19,"Failed")+COUNTIF(E19:G19,"FAILED")=0,COUNTIF(E19:G19,"Blocked")+COUNTIF(E19:G19,"BLOCKED")=0,H19&lt;&gt;""),"Связь статуса и ID баг-репорта неверна","Готово")))))))</x:f>
        <x:v>Готово</x:v>
      </x:c>
    </x:row>
    <x:row r="20" ht="21" customHeight="1">
      <x:c r="A20" s="9" t="s">
        <x:v>209</x:v>
      </x:c>
      <x:c r="B20" s="3"/>
      <x:c r="C20" s="3"/>
      <x:c r="D20" s="3"/>
      <x:c r="E20" s="3"/>
      <x:c r="F20" s="3"/>
      <x:c r="G20" s="3"/>
      <x:c r="H20" s="3"/>
      <x:c r="I20" s="3"/>
      <x:c r="J20" s="4"/>
    </x:row>
    <x:row r="21" ht="15.75" customHeight="1">
      <x:c r="A21" s="12">
        <x:v>14.0</x:v>
      </x:c>
      <x:c r="B21" s="11">
        <x:v>34.0</x:v>
      </x:c>
      <x:c r="C21" s="12" t="s">
        <x:v>189</x:v>
      </x:c>
      <x:c r="D21" s="12" t="s">
        <x:v>205</x:v>
      </x:c>
      <x:c r="E21" s="11" t="s">
        <x:v>184</x:v>
      </x:c>
      <x:c r="F21" s="11" t="s">
        <x:v>184</x:v>
      </x:c>
      <x:c r="G21" s="11" t="s">
        <x:v>185</x:v>
      </x:c>
      <x:c r="H21" s="11"/>
      <x:c r="I21" s="11"/>
      <x:c r="J21" s="12" t="str">
        <x:f>IF(AND(A21="",C21=""),"",IF(AND(C21="Критический путь",B21=""),"Нет порядка выполнения для критического пути",IF(AND(B21&lt;&gt;"",COUNTBLANK(E21:G21)=3),"Заполните статус",IF(OR(AND(E21&lt;&gt;"",E21&lt;&gt;"Passed",E21&lt;&gt;"Failed",E21&lt;&gt;"Blocked",E21&lt;&gt;"Skipped",E21&lt;&gt;"PASSED",E21&lt;&gt;"FAILED",E21&lt;&gt;"BLOCKED",E21&lt;&gt;"SKIPPED"),AND(F21&lt;&gt;"",F21&lt;&gt;"Passed",F21&lt;&gt;"Failed",F21&lt;&gt;"Blocked",F21&lt;&gt;"Skipped",F21&lt;&gt;"PASSED",F21&lt;&gt;"FAILED",F21&lt;&gt;"BLOCKED",F21&lt;&gt;"SKIPPED"),AND(G21&lt;&gt;"",G21&lt;&gt;"Passed",G21&lt;&gt;"Failed",G21&lt;&gt;"Blocked",G21&lt;&gt;"Skipped",G21&lt;&gt;"PASSED",G21&lt;&gt;"FAILED",G21&lt;&gt;"BLOCKED",G21&lt;&gt;"SKIPPED")),"Статус неверен",IF(AND(COUNTIF(E21:G21,"Failed")+COUNTIF(E21:G21,"FAILED")&gt;0,OR(H21="",COUNTIFS('Баг-репорты'!$A$5:$A$24,TRIM(H21),'Баг-репорты'!$I$5:$I$24,"Готово")=0)),"Связь статуса и ID баг-репорта неверна",IF(AND(COUNTIF(E21:G21,"Blocked")+COUNTIF(E21:G21,"BLOCKED")&gt;0,H21=""),"Укажите причину Blocked",IF(AND(COUNTIF(E21:G21,"Failed")+COUNTIF(E21:G21,"FAILED")=0,COUNTIF(E21:G21,"Blocked")+COUNTIF(E21:G21,"BLOCKED")=0,H21&lt;&gt;""),"Связь статуса и ID баг-репорта неверна","Готово")))))))</x:f>
        <x:v>Готово</x:v>
      </x:c>
    </x:row>
    <x:row r="22" ht="15.75" customHeight="1">
      <x:c r="A22" s="12">
        <x:v>15.0</x:v>
      </x:c>
      <x:c r="B22" s="11">
        <x:v>35.0</x:v>
      </x:c>
      <x:c r="C22" s="12" t="s">
        <x:v>189</x:v>
      </x:c>
      <x:c r="D22" s="12" t="s">
        <x:v>210</x:v>
      </x:c>
      <x:c r="E22" s="11" t="s">
        <x:v>184</x:v>
      </x:c>
      <x:c r="F22" s="11" t="s">
        <x:v>184</x:v>
      </x:c>
      <x:c r="G22" s="11" t="s">
        <x:v>185</x:v>
      </x:c>
      <x:c r="H22" s="11"/>
      <x:c r="I22" s="11"/>
      <x:c r="J22" s="12" t="str">
        <x:f>IF(AND(A22="",C22=""),"",IF(AND(C22="Критический путь",B22=""),"Нет порядка выполнения для критического пути",IF(AND(B22&lt;&gt;"",COUNTBLANK(E22:G22)=3),"Заполните статус",IF(OR(AND(E22&lt;&gt;"",E22&lt;&gt;"Passed",E22&lt;&gt;"Failed",E22&lt;&gt;"Blocked",E22&lt;&gt;"Skipped",E22&lt;&gt;"PASSED",E22&lt;&gt;"FAILED",E22&lt;&gt;"BLOCKED",E22&lt;&gt;"SKIPPED"),AND(F22&lt;&gt;"",F22&lt;&gt;"Passed",F22&lt;&gt;"Failed",F22&lt;&gt;"Blocked",F22&lt;&gt;"Skipped",F22&lt;&gt;"PASSED",F22&lt;&gt;"FAILED",F22&lt;&gt;"BLOCKED",F22&lt;&gt;"SKIPPED"),AND(G22&lt;&gt;"",G22&lt;&gt;"Passed",G22&lt;&gt;"Failed",G22&lt;&gt;"Blocked",G22&lt;&gt;"Skipped",G22&lt;&gt;"PASSED",G22&lt;&gt;"FAILED",G22&lt;&gt;"BLOCKED",G22&lt;&gt;"SKIPPED")),"Статус неверен",IF(AND(COUNTIF(E22:G22,"Failed")+COUNTIF(E22:G22,"FAILED")&gt;0,OR(H22="",COUNTIFS('Баг-репорты'!$A$5:$A$24,TRIM(H22),'Баг-репорты'!$I$5:$I$24,"Готово")=0)),"Связь статуса и ID баг-репорта неверна",IF(AND(COUNTIF(E22:G22,"Blocked")+COUNTIF(E22:G22,"BLOCKED")&gt;0,H22=""),"Укажите причину Blocked",IF(AND(COUNTIF(E22:G22,"Failed")+COUNTIF(E22:G22,"FAILED")=0,COUNTIF(E22:G22,"Blocked")+COUNTIF(E22:G22,"BLOCKED")=0,H22&lt;&gt;""),"Связь статуса и ID баг-репорта неверна","Готово")))))))</x:f>
        <x:v>Готово</x:v>
      </x:c>
    </x:row>
    <x:row r="23" ht="69" customHeight="1">
      <x:c r="A23" s="12">
        <x:v>16.0</x:v>
      </x:c>
      <x:c r="B23" s="11">
        <x:v>6.0</x:v>
      </x:c>
      <x:c r="C23" s="12" t="s">
        <x:v>182</x:v>
      </x:c>
      <x:c r="D23" s="12" t="s">
        <x:v>211</x:v>
      </x:c>
      <x:c r="E23" s="11" t="s">
        <x:v>187</x:v>
      </x:c>
      <x:c r="F23" s="11" t="s">
        <x:v>187</x:v>
      </x:c>
      <x:c r="G23" s="11" t="s">
        <x:v>185</x:v>
      </x:c>
      <x:c r="H23" s="16" t="s">
        <x:v>167</x:v>
      </x:c>
      <x:c r="I23" s="11" t="s">
        <x:v>212</x:v>
      </x:c>
      <x:c r="J23" s="12" t="str">
        <x:f>IF(AND(A23="",C23=""),"",IF(AND(C23="Критический путь",B23=""),"Нет порядка выполнения для критического пути",IF(AND(B23&lt;&gt;"",COUNTBLANK(E23:G23)=3),"Заполните статус",IF(OR(AND(E23&lt;&gt;"",E23&lt;&gt;"Passed",E23&lt;&gt;"Failed",E23&lt;&gt;"Blocked",E23&lt;&gt;"Skipped",E23&lt;&gt;"PASSED",E23&lt;&gt;"FAILED",E23&lt;&gt;"BLOCKED",E23&lt;&gt;"SKIPPED"),AND(F23&lt;&gt;"",F23&lt;&gt;"Passed",F23&lt;&gt;"Failed",F23&lt;&gt;"Blocked",F23&lt;&gt;"Skipped",F23&lt;&gt;"PASSED",F23&lt;&gt;"FAILED",F23&lt;&gt;"BLOCKED",F23&lt;&gt;"SKIPPED"),AND(G23&lt;&gt;"",G23&lt;&gt;"Passed",G23&lt;&gt;"Failed",G23&lt;&gt;"Blocked",G23&lt;&gt;"Skipped",G23&lt;&gt;"PASSED",G23&lt;&gt;"FAILED",G23&lt;&gt;"BLOCKED",G23&lt;&gt;"SKIPPED")),"Статус неверен",IF(AND(COUNTIF(E23:G23,"Failed")+COUNTIF(E23:G23,"FAILED")&gt;0,OR(H23="",COUNTIFS('Баг-репорты'!$A$5:$A$24,TRIM(H23),'Баг-репорты'!$I$5:$I$24,"Готово")=0)),"Связь статуса и ID баг-репорта неверна",IF(AND(COUNTIF(E23:G23,"Blocked")+COUNTIF(E23:G23,"BLOCKED")&gt;0,H23=""),"Укажите причину Blocked",IF(AND(COUNTIF(E23:G23,"Failed")+COUNTIF(E23:G23,"FAILED")=0,COUNTIF(E23:G23,"Blocked")+COUNTIF(E23:G23,"BLOCKED")=0,H23&lt;&gt;""),"Связь статуса и ID баг-репорта неверна","Готово")))))))</x:f>
        <x:v>Готово</x:v>
      </x:c>
    </x:row>
    <x:row r="24" ht="21" customHeight="1">
      <x:c r="A24" s="9" t="s">
        <x:v>213</x:v>
      </x:c>
      <x:c r="B24" s="3"/>
      <x:c r="C24" s="3"/>
      <x:c r="D24" s="3"/>
      <x:c r="E24" s="3"/>
      <x:c r="F24" s="3"/>
      <x:c r="G24" s="3"/>
      <x:c r="H24" s="3"/>
      <x:c r="I24" s="3"/>
      <x:c r="J24" s="4"/>
    </x:row>
    <x:row r="25" ht="15.75" customHeight="1">
      <x:c r="A25" s="12">
        <x:v>17.0</x:v>
      </x:c>
      <x:c r="B25" s="11">
        <x:v>36.0</x:v>
      </x:c>
      <x:c r="C25" s="12" t="s">
        <x:v>189</x:v>
      </x:c>
      <x:c r="D25" s="12" t="s">
        <x:v>205</x:v>
      </x:c>
      <x:c r="E25" s="11" t="s">
        <x:v>184</x:v>
      </x:c>
      <x:c r="F25" s="11" t="s">
        <x:v>184</x:v>
      </x:c>
      <x:c r="G25" s="11" t="s">
        <x:v>185</x:v>
      </x:c>
      <x:c r="H25" s="11"/>
      <x:c r="I25" s="11"/>
      <x:c r="J25" s="12" t="str">
        <x:f>IF(AND(A25="",C25=""),"",IF(AND(C25="Критический путь",B25=""),"Нет порядка выполнения для критического пути",IF(AND(B25&lt;&gt;"",COUNTBLANK(E25:G25)=3),"Заполните статус",IF(OR(AND(E25&lt;&gt;"",E25&lt;&gt;"Passed",E25&lt;&gt;"Failed",E25&lt;&gt;"Blocked",E25&lt;&gt;"Skipped",E25&lt;&gt;"PASSED",E25&lt;&gt;"FAILED",E25&lt;&gt;"BLOCKED",E25&lt;&gt;"SKIPPED"),AND(F25&lt;&gt;"",F25&lt;&gt;"Passed",F25&lt;&gt;"Failed",F25&lt;&gt;"Blocked",F25&lt;&gt;"Skipped",F25&lt;&gt;"PASSED",F25&lt;&gt;"FAILED",F25&lt;&gt;"BLOCKED",F25&lt;&gt;"SKIPPED"),AND(G25&lt;&gt;"",G25&lt;&gt;"Passed",G25&lt;&gt;"Failed",G25&lt;&gt;"Blocked",G25&lt;&gt;"Skipped",G25&lt;&gt;"PASSED",G25&lt;&gt;"FAILED",G25&lt;&gt;"BLOCKED",G25&lt;&gt;"SKIPPED")),"Статус неверен",IF(AND(COUNTIF(E25:G25,"Failed")+COUNTIF(E25:G25,"FAILED")&gt;0,OR(H25="",COUNTIFS('Баг-репорты'!$A$5:$A$24,TRIM(H25),'Баг-репорты'!$I$5:$I$24,"Готово")=0)),"Связь статуса и ID баг-репорта неверна",IF(AND(COUNTIF(E25:G25,"Blocked")+COUNTIF(E25:G25,"BLOCKED")&gt;0,H25=""),"Укажите причину Blocked",IF(AND(COUNTIF(E25:G25,"Failed")+COUNTIF(E25:G25,"FAILED")=0,COUNTIF(E25:G25,"Blocked")+COUNTIF(E25:G25,"BLOCKED")=0,H25&lt;&gt;""),"Связь статуса и ID баг-репорта неверна","Готово")))))))</x:f>
        <x:v>Готово</x:v>
      </x:c>
    </x:row>
    <x:row r="26" ht="15.75" customHeight="1">
      <x:c r="A26" s="12">
        <x:v>18.0</x:v>
      </x:c>
      <x:c r="B26" s="11">
        <x:v>37.0</x:v>
      </x:c>
      <x:c r="C26" s="12" t="s">
        <x:v>189</x:v>
      </x:c>
      <x:c r="D26" s="12" t="s">
        <x:v>214</x:v>
      </x:c>
      <x:c r="E26" s="11" t="s">
        <x:v>184</x:v>
      </x:c>
      <x:c r="F26" s="11" t="s">
        <x:v>184</x:v>
      </x:c>
      <x:c r="G26" s="11" t="s">
        <x:v>185</x:v>
      </x:c>
      <x:c r="H26" s="11"/>
      <x:c r="I26" s="11"/>
      <x:c r="J26" s="12" t="str">
        <x:f>IF(AND(A26="",C26=""),"",IF(AND(C26="Критический путь",B26=""),"Нет порядка выполнения для критического пути",IF(AND(B26&lt;&gt;"",COUNTBLANK(E26:G26)=3),"Заполните статус",IF(OR(AND(E26&lt;&gt;"",E26&lt;&gt;"Passed",E26&lt;&gt;"Failed",E26&lt;&gt;"Blocked",E26&lt;&gt;"Skipped",E26&lt;&gt;"PASSED",E26&lt;&gt;"FAILED",E26&lt;&gt;"BLOCKED",E26&lt;&gt;"SKIPPED"),AND(F26&lt;&gt;"",F26&lt;&gt;"Passed",F26&lt;&gt;"Failed",F26&lt;&gt;"Blocked",F26&lt;&gt;"Skipped",F26&lt;&gt;"PASSED",F26&lt;&gt;"FAILED",F26&lt;&gt;"BLOCKED",F26&lt;&gt;"SKIPPED"),AND(G26&lt;&gt;"",G26&lt;&gt;"Passed",G26&lt;&gt;"Failed",G26&lt;&gt;"Blocked",G26&lt;&gt;"Skipped",G26&lt;&gt;"PASSED",G26&lt;&gt;"FAILED",G26&lt;&gt;"BLOCKED",G26&lt;&gt;"SKIPPED")),"Статус неверен",IF(AND(COUNTIF(E26:G26,"Failed")+COUNTIF(E26:G26,"FAILED")&gt;0,OR(H26="",COUNTIFS('Баг-репорты'!$A$5:$A$24,TRIM(H26),'Баг-репорты'!$I$5:$I$24,"Готово")=0)),"Связь статуса и ID баг-репорта неверна",IF(AND(COUNTIF(E26:G26,"Blocked")+COUNTIF(E26:G26,"BLOCKED")&gt;0,H26=""),"Укажите причину Blocked",IF(AND(COUNTIF(E26:G26,"Failed")+COUNTIF(E26:G26,"FAILED")=0,COUNTIF(E26:G26,"Blocked")+COUNTIF(E26:G26,"BLOCKED")=0,H26&lt;&gt;""),"Связь статуса и ID баг-репорта неверна","Готово")))))))</x:f>
        <x:v>Готово</x:v>
      </x:c>
    </x:row>
    <x:row r="27" ht="90" customHeight="1">
      <x:c r="A27" s="12">
        <x:v>19.0</x:v>
      </x:c>
      <x:c r="B27" s="11">
        <x:v>7.0</x:v>
      </x:c>
      <x:c r="C27" s="12" t="s">
        <x:v>182</x:v>
      </x:c>
      <x:c r="D27" s="12" t="s">
        <x:v>215</x:v>
      </x:c>
      <x:c r="E27" s="11" t="s">
        <x:v>187</x:v>
      </x:c>
      <x:c r="F27" s="11" t="s">
        <x:v>187</x:v>
      </x:c>
      <x:c r="G27" s="11" t="s">
        <x:v>185</x:v>
      </x:c>
      <x:c r="H27" s="16" t="s">
        <x:v>208</x:v>
      </x:c>
      <x:c r="I27" s="11"/>
      <x:c r="J27" s="12" t="str">
        <x:f>IF(AND(A27="",C27=""),"",IF(AND(C27="Критический путь",B27=""),"Нет порядка выполнения для критического пути",IF(AND(B27&lt;&gt;"",COUNTBLANK(E27:G27)=3),"Заполните статус",IF(OR(AND(E27&lt;&gt;"",E27&lt;&gt;"Passed",E27&lt;&gt;"Failed",E27&lt;&gt;"Blocked",E27&lt;&gt;"Skipped",E27&lt;&gt;"PASSED",E27&lt;&gt;"FAILED",E27&lt;&gt;"BLOCKED",E27&lt;&gt;"SKIPPED"),AND(F27&lt;&gt;"",F27&lt;&gt;"Passed",F27&lt;&gt;"Failed",F27&lt;&gt;"Blocked",F27&lt;&gt;"Skipped",F27&lt;&gt;"PASSED",F27&lt;&gt;"FAILED",F27&lt;&gt;"BLOCKED",F27&lt;&gt;"SKIPPED"),AND(G27&lt;&gt;"",G27&lt;&gt;"Passed",G27&lt;&gt;"Failed",G27&lt;&gt;"Blocked",G27&lt;&gt;"Skipped",G27&lt;&gt;"PASSED",G27&lt;&gt;"FAILED",G27&lt;&gt;"BLOCKED",G27&lt;&gt;"SKIPPED")),"Статус неверен",IF(AND(COUNTIF(E27:G27,"Failed")+COUNTIF(E27:G27,"FAILED")&gt;0,OR(H27="",COUNTIFS('Баг-репорты'!$A$5:$A$24,TRIM(H27),'Баг-репорты'!$I$5:$I$24,"Готово")=0)),"Связь статуса и ID баг-репорта неверна",IF(AND(COUNTIF(E27:G27,"Blocked")+COUNTIF(E27:G27,"BLOCKED")&gt;0,H27=""),"Укажите причину Blocked",IF(AND(COUNTIF(E27:G27,"Failed")+COUNTIF(E27:G27,"FAILED")=0,COUNTIF(E27:G27,"Blocked")+COUNTIF(E27:G27,"BLOCKED")=0,H27&lt;&gt;""),"Связь статуса и ID баг-репорта неверна","Готово")))))))</x:f>
        <x:v>Готово</x:v>
      </x:c>
    </x:row>
    <x:row r="28" ht="60" customHeight="1">
      <x:c r="A28" s="12">
        <x:v>20.0</x:v>
      </x:c>
      <x:c r="B28" s="11">
        <x:v>8.0</x:v>
      </x:c>
      <x:c r="C28" s="12" t="s">
        <x:v>182</x:v>
      </x:c>
      <x:c r="D28" s="12" t="s">
        <x:v>216</x:v>
      </x:c>
      <x:c r="E28" s="11" t="s">
        <x:v>184</x:v>
      </x:c>
      <x:c r="F28" s="11" t="s">
        <x:v>184</x:v>
      </x:c>
      <x:c r="G28" s="11" t="s">
        <x:v>185</x:v>
      </x:c>
      <x:c r="H28" s="11"/>
      <x:c r="I28" s="11"/>
      <x:c r="J28" s="12" t="str">
        <x:f>IF(AND(A28="",C28=""),"",IF(AND(C28="Критический путь",B28=""),"Нет порядка выполнения для критического пути",IF(AND(B28&lt;&gt;"",COUNTBLANK(E28:G28)=3),"Заполните статус",IF(OR(AND(E28&lt;&gt;"",E28&lt;&gt;"Passed",E28&lt;&gt;"Failed",E28&lt;&gt;"Blocked",E28&lt;&gt;"Skipped",E28&lt;&gt;"PASSED",E28&lt;&gt;"FAILED",E28&lt;&gt;"BLOCKED",E28&lt;&gt;"SKIPPED"),AND(F28&lt;&gt;"",F28&lt;&gt;"Passed",F28&lt;&gt;"Failed",F28&lt;&gt;"Blocked",F28&lt;&gt;"Skipped",F28&lt;&gt;"PASSED",F28&lt;&gt;"FAILED",F28&lt;&gt;"BLOCKED",F28&lt;&gt;"SKIPPED"),AND(G28&lt;&gt;"",G28&lt;&gt;"Passed",G28&lt;&gt;"Failed",G28&lt;&gt;"Blocked",G28&lt;&gt;"Skipped",G28&lt;&gt;"PASSED",G28&lt;&gt;"FAILED",G28&lt;&gt;"BLOCKED",G28&lt;&gt;"SKIPPED")),"Статус неверен",IF(AND(COUNTIF(E28:G28,"Failed")+COUNTIF(E28:G28,"FAILED")&gt;0,OR(H28="",COUNTIFS('Баг-репорты'!$A$5:$A$24,TRIM(H28),'Баг-репорты'!$I$5:$I$24,"Готово")=0)),"Связь статуса и ID баг-репорта неверна",IF(AND(COUNTIF(E28:G28,"Blocked")+COUNTIF(E28:G28,"BLOCKED")&gt;0,H28=""),"Укажите причину Blocked",IF(AND(COUNTIF(E28:G28,"Failed")+COUNTIF(E28:G28,"FAILED")=0,COUNTIF(E28:G28,"Blocked")+COUNTIF(E28:G28,"BLOCKED")=0,H28&lt;&gt;""),"Связь статуса и ID баг-репорта неверна","Готово")))))))</x:f>
        <x:v>Готово</x:v>
      </x:c>
    </x:row>
    <x:row r="29" ht="21" customHeight="1">
      <x:c r="A29" s="9" t="s">
        <x:v>217</x:v>
      </x:c>
      <x:c r="B29" s="3"/>
      <x:c r="C29" s="3"/>
      <x:c r="D29" s="3"/>
      <x:c r="E29" s="3"/>
      <x:c r="F29" s="3"/>
      <x:c r="G29" s="3"/>
      <x:c r="H29" s="3"/>
      <x:c r="I29" s="3"/>
      <x:c r="J29" s="4"/>
    </x:row>
    <x:row r="30" ht="15.75" customHeight="1">
      <x:c r="A30" s="12">
        <x:v>21.0</x:v>
      </x:c>
      <x:c r="B30" s="11">
        <x:v>38.0</x:v>
      </x:c>
      <x:c r="C30" s="12" t="s">
        <x:v>189</x:v>
      </x:c>
      <x:c r="D30" s="12" t="s">
        <x:v>205</x:v>
      </x:c>
      <x:c r="E30" s="11" t="s">
        <x:v>184</x:v>
      </x:c>
      <x:c r="F30" s="11" t="s">
        <x:v>184</x:v>
      </x:c>
      <x:c r="G30" s="11" t="s">
        <x:v>185</x:v>
      </x:c>
      <x:c r="H30" s="11"/>
      <x:c r="I30" s="11"/>
      <x:c r="J30" s="12" t="str">
        <x:f>IF(AND(A30="",C30=""),"",IF(AND(C30="Критический путь",B30=""),"Нет порядка выполнения для критического пути",IF(AND(B30&lt;&gt;"",COUNTBLANK(E30:G30)=3),"Заполните статус",IF(OR(AND(E30&lt;&gt;"",E30&lt;&gt;"Passed",E30&lt;&gt;"Failed",E30&lt;&gt;"Blocked",E30&lt;&gt;"Skipped",E30&lt;&gt;"PASSED",E30&lt;&gt;"FAILED",E30&lt;&gt;"BLOCKED",E30&lt;&gt;"SKIPPED"),AND(F30&lt;&gt;"",F30&lt;&gt;"Passed",F30&lt;&gt;"Failed",F30&lt;&gt;"Blocked",F30&lt;&gt;"Skipped",F30&lt;&gt;"PASSED",F30&lt;&gt;"FAILED",F30&lt;&gt;"BLOCKED",F30&lt;&gt;"SKIPPED"),AND(G30&lt;&gt;"",G30&lt;&gt;"Passed",G30&lt;&gt;"Failed",G30&lt;&gt;"Blocked",G30&lt;&gt;"Skipped",G30&lt;&gt;"PASSED",G30&lt;&gt;"FAILED",G30&lt;&gt;"BLOCKED",G30&lt;&gt;"SKIPPED")),"Статус неверен",IF(AND(COUNTIF(E30:G30,"Failed")+COUNTIF(E30:G30,"FAILED")&gt;0,OR(H30="",COUNTIFS('Баг-репорты'!$A$5:$A$24,TRIM(H30),'Баг-репорты'!$I$5:$I$24,"Готово")=0)),"Связь статуса и ID баг-репорта неверна",IF(AND(COUNTIF(E30:G30,"Blocked")+COUNTIF(E30:G30,"BLOCKED")&gt;0,H30=""),"Укажите причину Blocked",IF(AND(COUNTIF(E30:G30,"Failed")+COUNTIF(E30:G30,"FAILED")=0,COUNTIF(E30:G30,"Blocked")+COUNTIF(E30:G30,"BLOCKED")=0,H30&lt;&gt;""),"Связь статуса и ID баг-репорта неверна","Готово")))))))</x:f>
        <x:v>Готово</x:v>
      </x:c>
    </x:row>
    <x:row r="31" ht="15.75" customHeight="1">
      <x:c r="A31" s="12">
        <x:v>22.0</x:v>
      </x:c>
      <x:c r="B31" s="11">
        <x:v>39.0</x:v>
      </x:c>
      <x:c r="C31" s="12" t="s">
        <x:v>189</x:v>
      </x:c>
      <x:c r="D31" s="12" t="s">
        <x:v>218</x:v>
      </x:c>
      <x:c r="E31" s="11" t="s">
        <x:v>184</x:v>
      </x:c>
      <x:c r="F31" s="11" t="s">
        <x:v>184</x:v>
      </x:c>
      <x:c r="G31" s="11" t="s">
        <x:v>185</x:v>
      </x:c>
      <x:c r="H31" s="11"/>
      <x:c r="I31" s="11"/>
      <x:c r="J31" s="12" t="str">
        <x:f>IF(AND(A31="",C31=""),"",IF(AND(C31="Критический путь",B31=""),"Нет порядка выполнения для критического пути",IF(AND(B31&lt;&gt;"",COUNTBLANK(E31:G31)=3),"Заполните статус",IF(OR(AND(E31&lt;&gt;"",E31&lt;&gt;"Passed",E31&lt;&gt;"Failed",E31&lt;&gt;"Blocked",E31&lt;&gt;"Skipped",E31&lt;&gt;"PASSED",E31&lt;&gt;"FAILED",E31&lt;&gt;"BLOCKED",E31&lt;&gt;"SKIPPED"),AND(F31&lt;&gt;"",F31&lt;&gt;"Passed",F31&lt;&gt;"Failed",F31&lt;&gt;"Blocked",F31&lt;&gt;"Skipped",F31&lt;&gt;"PASSED",F31&lt;&gt;"FAILED",F31&lt;&gt;"BLOCKED",F31&lt;&gt;"SKIPPED"),AND(G31&lt;&gt;"",G31&lt;&gt;"Passed",G31&lt;&gt;"Failed",G31&lt;&gt;"Blocked",G31&lt;&gt;"Skipped",G31&lt;&gt;"PASSED",G31&lt;&gt;"FAILED",G31&lt;&gt;"BLOCKED",G31&lt;&gt;"SKIPPED")),"Статус неверен",IF(AND(COUNTIF(E31:G31,"Failed")+COUNTIF(E31:G31,"FAILED")&gt;0,OR(H31="",COUNTIFS('Баг-репорты'!$A$5:$A$24,TRIM(H31),'Баг-репорты'!$I$5:$I$24,"Готово")=0)),"Связь статуса и ID баг-репорта неверна",IF(AND(COUNTIF(E31:G31,"Blocked")+COUNTIF(E31:G31,"BLOCKED")&gt;0,H31=""),"Укажите причину Blocked",IF(AND(COUNTIF(E31:G31,"Failed")+COUNTIF(E31:G31,"FAILED")=0,COUNTIF(E31:G31,"Blocked")+COUNTIF(E31:G31,"BLOCKED")=0,H31&lt;&gt;""),"Связь статуса и ID баг-репорта неверна","Готово")))))))</x:f>
        <x:v>Готово</x:v>
      </x:c>
    </x:row>
    <x:row r="32" ht="57.75" customHeight="1">
      <x:c r="A32" s="12">
        <x:v>23.0</x:v>
      </x:c>
      <x:c r="B32" s="11">
        <x:v>9.0</x:v>
      </x:c>
      <x:c r="C32" s="12" t="s">
        <x:v>182</x:v>
      </x:c>
      <x:c r="D32" s="12" t="s">
        <x:v>219</x:v>
      </x:c>
      <x:c r="E32" s="11" t="s">
        <x:v>187</x:v>
      </x:c>
      <x:c r="F32" s="11" t="s">
        <x:v>187</x:v>
      </x:c>
      <x:c r="G32" s="11" t="s">
        <x:v>185</x:v>
      </x:c>
      <x:c r="H32" s="16" t="s">
        <x:v>208</x:v>
      </x:c>
      <x:c r="I32" s="11"/>
      <x:c r="J32" s="12" t="str">
        <x:f>IF(AND(A32="",C32=""),"",IF(AND(C32="Критический путь",B32=""),"Нет порядка выполнения для критического пути",IF(AND(B32&lt;&gt;"",COUNTBLANK(E32:G32)=3),"Заполните статус",IF(OR(AND(E32&lt;&gt;"",E32&lt;&gt;"Passed",E32&lt;&gt;"Failed",E32&lt;&gt;"Blocked",E32&lt;&gt;"Skipped",E32&lt;&gt;"PASSED",E32&lt;&gt;"FAILED",E32&lt;&gt;"BLOCKED",E32&lt;&gt;"SKIPPED"),AND(F32&lt;&gt;"",F32&lt;&gt;"Passed",F32&lt;&gt;"Failed",F32&lt;&gt;"Blocked",F32&lt;&gt;"Skipped",F32&lt;&gt;"PASSED",F32&lt;&gt;"FAILED",F32&lt;&gt;"BLOCKED",F32&lt;&gt;"SKIPPED"),AND(G32&lt;&gt;"",G32&lt;&gt;"Passed",G32&lt;&gt;"Failed",G32&lt;&gt;"Blocked",G32&lt;&gt;"Skipped",G32&lt;&gt;"PASSED",G32&lt;&gt;"FAILED",G32&lt;&gt;"BLOCKED",G32&lt;&gt;"SKIPPED")),"Статус неверен",IF(AND(COUNTIF(E32:G32,"Failed")+COUNTIF(E32:G32,"FAILED")&gt;0,OR(H32="",COUNTIFS('Баг-репорты'!$A$5:$A$24,TRIM(H32),'Баг-репорты'!$I$5:$I$24,"Готово")=0)),"Связь статуса и ID баг-репорта неверна",IF(AND(COUNTIF(E32:G32,"Blocked")+COUNTIF(E32:G32,"BLOCKED")&gt;0,H32=""),"Укажите причину Blocked",IF(AND(COUNTIF(E32:G32,"Failed")+COUNTIF(E32:G32,"FAILED")=0,COUNTIF(E32:G32,"Blocked")+COUNTIF(E32:G32,"BLOCKED")=0,H32&lt;&gt;""),"Связь статуса и ID баг-репорта неверна","Готово")))))))</x:f>
        <x:v>Готово</x:v>
      </x:c>
    </x:row>
    <x:row r="33" ht="21" customHeight="1">
      <x:c r="A33" s="9" t="s">
        <x:v>220</x:v>
      </x:c>
      <x:c r="B33" s="3"/>
      <x:c r="C33" s="3"/>
      <x:c r="D33" s="3"/>
      <x:c r="E33" s="3"/>
      <x:c r="F33" s="3"/>
      <x:c r="G33" s="3"/>
      <x:c r="H33" s="3"/>
      <x:c r="I33" s="3"/>
      <x:c r="J33" s="4"/>
    </x:row>
    <x:row r="34" ht="15.75" customHeight="1">
      <x:c r="A34" s="12">
        <x:v>24.0</x:v>
      </x:c>
      <x:c r="B34" s="11">
        <x:v>40.0</x:v>
      </x:c>
      <x:c r="C34" s="12" t="s">
        <x:v>189</x:v>
      </x:c>
      <x:c r="D34" s="12" t="s">
        <x:v>205</x:v>
      </x:c>
      <x:c r="E34" s="11" t="s">
        <x:v>184</x:v>
      </x:c>
      <x:c r="F34" s="11" t="s">
        <x:v>184</x:v>
      </x:c>
      <x:c r="G34" s="11" t="s">
        <x:v>185</x:v>
      </x:c>
      <x:c r="H34" s="11"/>
      <x:c r="I34" s="11"/>
      <x:c r="J34" s="12" t="str">
        <x:f>IF(AND(A34="",C34=""),"",IF(AND(C34="Критический путь",B34=""),"Нет порядка выполнения для критического пути",IF(AND(B34&lt;&gt;"",COUNTBLANK(E34:G34)=3),"Заполните статус",IF(OR(AND(E34&lt;&gt;"",E34&lt;&gt;"Passed",E34&lt;&gt;"Failed",E34&lt;&gt;"Blocked",E34&lt;&gt;"Skipped",E34&lt;&gt;"PASSED",E34&lt;&gt;"FAILED",E34&lt;&gt;"BLOCKED",E34&lt;&gt;"SKIPPED"),AND(F34&lt;&gt;"",F34&lt;&gt;"Passed",F34&lt;&gt;"Failed",F34&lt;&gt;"Blocked",F34&lt;&gt;"Skipped",F34&lt;&gt;"PASSED",F34&lt;&gt;"FAILED",F34&lt;&gt;"BLOCKED",F34&lt;&gt;"SKIPPED"),AND(G34&lt;&gt;"",G34&lt;&gt;"Passed",G34&lt;&gt;"Failed",G34&lt;&gt;"Blocked",G34&lt;&gt;"Skipped",G34&lt;&gt;"PASSED",G34&lt;&gt;"FAILED",G34&lt;&gt;"BLOCKED",G34&lt;&gt;"SKIPPED")),"Статус неверен",IF(AND(COUNTIF(E34:G34,"Failed")+COUNTIF(E34:G34,"FAILED")&gt;0,OR(H34="",COUNTIFS('Баг-репорты'!$A$5:$A$24,TRIM(H34),'Баг-репорты'!$I$5:$I$24,"Готово")=0)),"Связь статуса и ID баг-репорта неверна",IF(AND(COUNTIF(E34:G34,"Blocked")+COUNTIF(E34:G34,"BLOCKED")&gt;0,H34=""),"Укажите причину Blocked",IF(AND(COUNTIF(E34:G34,"Failed")+COUNTIF(E34:G34,"FAILED")=0,COUNTIF(E34:G34,"Blocked")+COUNTIF(E34:G34,"BLOCKED")=0,H34&lt;&gt;""),"Связь статуса и ID баг-репорта неверна","Готово")))))))</x:f>
        <x:v>Готово</x:v>
      </x:c>
    </x:row>
    <x:row r="35" ht="15.75" customHeight="1">
      <x:c r="A35" s="12">
        <x:v>25.0</x:v>
      </x:c>
      <x:c r="B35" s="11">
        <x:v>41.0</x:v>
      </x:c>
      <x:c r="C35" s="12" t="s">
        <x:v>189</x:v>
      </x:c>
      <x:c r="D35" s="12" t="s">
        <x:v>221</x:v>
      </x:c>
      <x:c r="E35" s="11" t="s">
        <x:v>184</x:v>
      </x:c>
      <x:c r="F35" s="11" t="s">
        <x:v>184</x:v>
      </x:c>
      <x:c r="G35" s="11" t="s">
        <x:v>185</x:v>
      </x:c>
      <x:c r="H35" s="11"/>
      <x:c r="I35" s="11"/>
      <x:c r="J35" s="12" t="str">
        <x:f>IF(AND(A35="",C35=""),"",IF(AND(C35="Критический путь",B35=""),"Нет порядка выполнения для критического пути",IF(AND(B35&lt;&gt;"",COUNTBLANK(E35:G35)=3),"Заполните статус",IF(OR(AND(E35&lt;&gt;"",E35&lt;&gt;"Passed",E35&lt;&gt;"Failed",E35&lt;&gt;"Blocked",E35&lt;&gt;"Skipped",E35&lt;&gt;"PASSED",E35&lt;&gt;"FAILED",E35&lt;&gt;"BLOCKED",E35&lt;&gt;"SKIPPED"),AND(F35&lt;&gt;"",F35&lt;&gt;"Passed",F35&lt;&gt;"Failed",F35&lt;&gt;"Blocked",F35&lt;&gt;"Skipped",F35&lt;&gt;"PASSED",F35&lt;&gt;"FAILED",F35&lt;&gt;"BLOCKED",F35&lt;&gt;"SKIPPED"),AND(G35&lt;&gt;"",G35&lt;&gt;"Passed",G35&lt;&gt;"Failed",G35&lt;&gt;"Blocked",G35&lt;&gt;"Skipped",G35&lt;&gt;"PASSED",G35&lt;&gt;"FAILED",G35&lt;&gt;"BLOCKED",G35&lt;&gt;"SKIPPED")),"Статус неверен",IF(AND(COUNTIF(E35:G35,"Failed")+COUNTIF(E35:G35,"FAILED")&gt;0,OR(H35="",COUNTIFS('Баг-репорты'!$A$5:$A$24,TRIM(H35),'Баг-репорты'!$I$5:$I$24,"Готово")=0)),"Связь статуса и ID баг-репорта неверна",IF(AND(COUNTIF(E35:G35,"Blocked")+COUNTIF(E35:G35,"BLOCKED")&gt;0,H35=""),"Укажите причину Blocked",IF(AND(COUNTIF(E35:G35,"Failed")+COUNTIF(E35:G35,"FAILED")=0,COUNTIF(E35:G35,"Blocked")+COUNTIF(E35:G35,"BLOCKED")=0,H35&lt;&gt;""),"Связь статуса и ID баг-репорта неверна","Готово")))))))</x:f>
        <x:v>Готово</x:v>
      </x:c>
    </x:row>
    <x:row r="36" ht="54" customHeight="1">
      <x:c r="A36" s="12">
        <x:v>26.0</x:v>
      </x:c>
      <x:c r="B36" s="11">
        <x:v>10.0</x:v>
      </x:c>
      <x:c r="C36" s="12" t="s">
        <x:v>182</x:v>
      </x:c>
      <x:c r="D36" s="12" t="s">
        <x:v>222</x:v>
      </x:c>
      <x:c r="E36" s="11" t="s">
        <x:v>187</x:v>
      </x:c>
      <x:c r="F36" s="11" t="s">
        <x:v>187</x:v>
      </x:c>
      <x:c r="G36" s="11" t="s">
        <x:v>185</x:v>
      </x:c>
      <x:c r="H36" s="16" t="s">
        <x:v>208</x:v>
      </x:c>
      <x:c r="I36" s="11"/>
      <x:c r="J36" s="12" t="str">
        <x:f>IF(AND(A36="",C36=""),"",IF(AND(C36="Критический путь",B36=""),"Нет порядка выполнения для критического пути",IF(AND(B36&lt;&gt;"",COUNTBLANK(E36:G36)=3),"Заполните статус",IF(OR(AND(E36&lt;&gt;"",E36&lt;&gt;"Passed",E36&lt;&gt;"Failed",E36&lt;&gt;"Blocked",E36&lt;&gt;"Skipped",E36&lt;&gt;"PASSED",E36&lt;&gt;"FAILED",E36&lt;&gt;"BLOCKED",E36&lt;&gt;"SKIPPED"),AND(F36&lt;&gt;"",F36&lt;&gt;"Passed",F36&lt;&gt;"Failed",F36&lt;&gt;"Blocked",F36&lt;&gt;"Skipped",F36&lt;&gt;"PASSED",F36&lt;&gt;"FAILED",F36&lt;&gt;"BLOCKED",F36&lt;&gt;"SKIPPED"),AND(G36&lt;&gt;"",G36&lt;&gt;"Passed",G36&lt;&gt;"Failed",G36&lt;&gt;"Blocked",G36&lt;&gt;"Skipped",G36&lt;&gt;"PASSED",G36&lt;&gt;"FAILED",G36&lt;&gt;"BLOCKED",G36&lt;&gt;"SKIPPED")),"Статус неверен",IF(AND(COUNTIF(E36:G36,"Failed")+COUNTIF(E36:G36,"FAILED")&gt;0,OR(H36="",COUNTIFS('Баг-репорты'!$A$5:$A$24,TRIM(H36),'Баг-репорты'!$I$5:$I$24,"Готово")=0)),"Связь статуса и ID баг-репорта неверна",IF(AND(COUNTIF(E36:G36,"Blocked")+COUNTIF(E36:G36,"BLOCKED")&gt;0,H36=""),"Укажите причину Blocked",IF(AND(COUNTIF(E36:G36,"Failed")+COUNTIF(E36:G36,"FAILED")=0,COUNTIF(E36:G36,"Blocked")+COUNTIF(E36:G36,"BLOCKED")=0,H36&lt;&gt;""),"Связь статуса и ID баг-репорта неверна","Готово")))))))</x:f>
        <x:v>Готово</x:v>
      </x:c>
    </x:row>
    <x:row r="37" ht="51" customHeight="1">
      <x:c r="A37" s="12">
        <x:v>27.0</x:v>
      </x:c>
      <x:c r="B37" s="11">
        <x:v>11.0</x:v>
      </x:c>
      <x:c r="C37" s="12" t="s">
        <x:v>182</x:v>
      </x:c>
      <x:c r="D37" s="12" t="s">
        <x:v>223</x:v>
      </x:c>
      <x:c r="E37" s="11" t="s">
        <x:v>184</x:v>
      </x:c>
      <x:c r="F37" s="11" t="s">
        <x:v>184</x:v>
      </x:c>
      <x:c r="G37" s="11" t="s">
        <x:v>185</x:v>
      </x:c>
      <x:c r="H37" s="11"/>
      <x:c r="I37" s="11"/>
      <x:c r="J37" s="12" t="str">
        <x:f>IF(AND(A37="",C37=""),"",IF(AND(C37="Критический путь",B37=""),"Нет порядка выполнения для критического пути",IF(AND(B37&lt;&gt;"",COUNTBLANK(E37:G37)=3),"Заполните статус",IF(OR(AND(E37&lt;&gt;"",E37&lt;&gt;"Passed",E37&lt;&gt;"Failed",E37&lt;&gt;"Blocked",E37&lt;&gt;"Skipped",E37&lt;&gt;"PASSED",E37&lt;&gt;"FAILED",E37&lt;&gt;"BLOCKED",E37&lt;&gt;"SKIPPED"),AND(F37&lt;&gt;"",F37&lt;&gt;"Passed",F37&lt;&gt;"Failed",F37&lt;&gt;"Blocked",F37&lt;&gt;"Skipped",F37&lt;&gt;"PASSED",F37&lt;&gt;"FAILED",F37&lt;&gt;"BLOCKED",F37&lt;&gt;"SKIPPED"),AND(G37&lt;&gt;"",G37&lt;&gt;"Passed",G37&lt;&gt;"Failed",G37&lt;&gt;"Blocked",G37&lt;&gt;"Skipped",G37&lt;&gt;"PASSED",G37&lt;&gt;"FAILED",G37&lt;&gt;"BLOCKED",G37&lt;&gt;"SKIPPED")),"Статус неверен",IF(AND(COUNTIF(E37:G37,"Failed")+COUNTIF(E37:G37,"FAILED")&gt;0,OR(H37="",COUNTIFS('Баг-репорты'!$A$5:$A$24,TRIM(H37),'Баг-репорты'!$I$5:$I$24,"Готово")=0)),"Связь статуса и ID баг-репорта неверна",IF(AND(COUNTIF(E37:G37,"Blocked")+COUNTIF(E37:G37,"BLOCKED")&gt;0,H37=""),"Укажите причину Blocked",IF(AND(COUNTIF(E37:G37,"Failed")+COUNTIF(E37:G37,"FAILED")=0,COUNTIF(E37:G37,"Blocked")+COUNTIF(E37:G37,"BLOCKED")=0,H37&lt;&gt;""),"Связь статуса и ID баг-репорта неверна","Готово")))))))</x:f>
        <x:v>Готово</x:v>
      </x:c>
    </x:row>
    <x:row r="38" ht="15.75" customHeight="1">
      <x:c r="A38" s="12"/>
      <x:c r="B38" s="11"/>
      <x:c r="C38" s="12"/>
      <x:c r="D38" s="12"/>
      <x:c r="E38" s="11"/>
      <x:c r="F38" s="11"/>
      <x:c r="G38" s="11"/>
      <x:c r="H38" s="11"/>
      <x:c r="I38" s="11"/>
      <x:c r="J38" s="12" t="str">
        <x:f>IF(AND(A38="",C38=""),"",IF(AND(C38="Критический путь",B38=""),"Нет порядка выполнения для критического пути",IF(AND(B38&lt;&gt;"",COUNTBLANK(E38:G38)=3),"Заполните статус",IF(OR(AND(E38&lt;&gt;"",E38&lt;&gt;"Passed",E38&lt;&gt;"Failed",E38&lt;&gt;"Blocked",E38&lt;&gt;"Skipped",E38&lt;&gt;"PASSED",E38&lt;&gt;"FAILED",E38&lt;&gt;"BLOCKED",E38&lt;&gt;"SKIPPED"),AND(F38&lt;&gt;"",F38&lt;&gt;"Passed",F38&lt;&gt;"Failed",F38&lt;&gt;"Blocked",F38&lt;&gt;"Skipped",F38&lt;&gt;"PASSED",F38&lt;&gt;"FAILED",F38&lt;&gt;"BLOCKED",F38&lt;&gt;"SKIPPED"),AND(G38&lt;&gt;"",G38&lt;&gt;"Passed",G38&lt;&gt;"Failed",G38&lt;&gt;"Blocked",G38&lt;&gt;"Skipped",G38&lt;&gt;"PASSED",G38&lt;&gt;"FAILED",G38&lt;&gt;"BLOCKED",G38&lt;&gt;"SKIPPED")),"Статус неверен",IF(AND(COUNTIF(E38:G38,"Failed")+COUNTIF(E38:G38,"FAILED")&gt;0,OR(H38="",COUNTIFS('Баг-репорты'!$A$5:$A$24,TRIM(H38),'Баг-репорты'!$I$5:$I$24,"Готово")=0)),"Связь статуса и ID баг-репорта неверна",IF(AND(COUNTIF(E38:G38,"Blocked")+COUNTIF(E38:G38,"BLOCKED")&gt;0,H38=""),"Укажите причину Blocked",IF(AND(COUNTIF(E38:G38,"Failed")+COUNTIF(E38:G38,"FAILED")=0,COUNTIF(E38:G38,"Blocked")+COUNTIF(E38:G38,"BLOCKED")=0,H38&lt;&gt;""),"Связь статуса и ID баг-репорта неверна","Готово")))))))</x:f>
      </x:c>
    </x:row>
    <x:row r="39" ht="15.75" customHeight="1">
      <x:c r="A39" s="12"/>
      <x:c r="B39" s="11"/>
      <x:c r="C39" s="12"/>
      <x:c r="D39" s="12"/>
      <x:c r="E39" s="11"/>
      <x:c r="F39" s="11"/>
      <x:c r="G39" s="11"/>
      <x:c r="H39" s="11"/>
      <x:c r="I39" s="11"/>
      <x:c r="J39" s="12" t="str">
        <x:f>IF(AND(A39="",C39=""),"",IF(AND(C39="Критический путь",B39=""),"Нет порядка выполнения для критического пути",IF(AND(B39&lt;&gt;"",COUNTBLANK(E39:G39)=3),"Заполните статус",IF(OR(AND(E39&lt;&gt;"",E39&lt;&gt;"Passed",E39&lt;&gt;"Failed",E39&lt;&gt;"Blocked",E39&lt;&gt;"Skipped",E39&lt;&gt;"PASSED",E39&lt;&gt;"FAILED",E39&lt;&gt;"BLOCKED",E39&lt;&gt;"SKIPPED"),AND(F39&lt;&gt;"",F39&lt;&gt;"Passed",F39&lt;&gt;"Failed",F39&lt;&gt;"Blocked",F39&lt;&gt;"Skipped",F39&lt;&gt;"PASSED",F39&lt;&gt;"FAILED",F39&lt;&gt;"BLOCKED",F39&lt;&gt;"SKIPPED"),AND(G39&lt;&gt;"",G39&lt;&gt;"Passed",G39&lt;&gt;"Failed",G39&lt;&gt;"Blocked",G39&lt;&gt;"Skipped",G39&lt;&gt;"PASSED",G39&lt;&gt;"FAILED",G39&lt;&gt;"BLOCKED",G39&lt;&gt;"SKIPPED")),"Статус неверен",IF(AND(COUNTIF(E39:G39,"Failed")+COUNTIF(E39:G39,"FAILED")&gt;0,OR(H39="",COUNTIFS('Баг-репорты'!$A$5:$A$24,TRIM(H39),'Баг-репорты'!$I$5:$I$24,"Готово")=0)),"Связь статуса и ID баг-репорта неверна",IF(AND(COUNTIF(E39:G39,"Blocked")+COUNTIF(E39:G39,"BLOCKED")&gt;0,H39=""),"Укажите причину Blocked",IF(AND(COUNTIF(E39:G39,"Failed")+COUNTIF(E39:G39,"FAILED")=0,COUNTIF(E39:G39,"Blocked")+COUNTIF(E39:G39,"BLOCKED")=0,H39&lt;&gt;""),"Связь статуса и ID баг-репорта неверна","Готово")))))))</x:f>
      </x:c>
    </x:row>
    <x:row r="40" ht="21" customHeight="1">
      <x:c r="A40" s="9" t="s">
        <x:v>224</x:v>
      </x:c>
      <x:c r="B40" s="3"/>
      <x:c r="C40" s="3"/>
      <x:c r="D40" s="3"/>
      <x:c r="E40" s="3"/>
      <x:c r="F40" s="3"/>
      <x:c r="G40" s="3"/>
      <x:c r="H40" s="3"/>
      <x:c r="I40" s="3"/>
      <x:c r="J40" s="4"/>
    </x:row>
    <x:row r="41" ht="15.75" customHeight="1">
      <x:c r="A41" s="12">
        <x:v>28.0</x:v>
      </x:c>
      <x:c r="B41" s="11">
        <x:v>42.0</x:v>
      </x:c>
      <x:c r="C41" s="12" t="s">
        <x:v>189</x:v>
      </x:c>
      <x:c r="D41" s="12" t="s">
        <x:v>205</x:v>
      </x:c>
      <x:c r="E41" s="11" t="s">
        <x:v>184</x:v>
      </x:c>
      <x:c r="F41" s="11" t="s">
        <x:v>184</x:v>
      </x:c>
      <x:c r="G41" s="11" t="s">
        <x:v>185</x:v>
      </x:c>
      <x:c r="H41" s="11"/>
      <x:c r="I41" s="11"/>
      <x:c r="J41" s="12" t="str">
        <x:f>IF(AND(A41="",C41=""),"",IF(AND(C41="Критический путь",B41=""),"Нет порядка выполнения для критического пути",IF(AND(B41&lt;&gt;"",COUNTBLANK(E41:G41)=3),"Заполните статус",IF(OR(AND(E41&lt;&gt;"",E41&lt;&gt;"Passed",E41&lt;&gt;"Failed",E41&lt;&gt;"Blocked",E41&lt;&gt;"Skipped",E41&lt;&gt;"PASSED",E41&lt;&gt;"FAILED",E41&lt;&gt;"BLOCKED",E41&lt;&gt;"SKIPPED"),AND(F41&lt;&gt;"",F41&lt;&gt;"Passed",F41&lt;&gt;"Failed",F41&lt;&gt;"Blocked",F41&lt;&gt;"Skipped",F41&lt;&gt;"PASSED",F41&lt;&gt;"FAILED",F41&lt;&gt;"BLOCKED",F41&lt;&gt;"SKIPPED"),AND(G41&lt;&gt;"",G41&lt;&gt;"Passed",G41&lt;&gt;"Failed",G41&lt;&gt;"Blocked",G41&lt;&gt;"Skipped",G41&lt;&gt;"PASSED",G41&lt;&gt;"FAILED",G41&lt;&gt;"BLOCKED",G41&lt;&gt;"SKIPPED")),"Статус неверен",IF(AND(COUNTIF(E41:G41,"Failed")+COUNTIF(E41:G41,"FAILED")&gt;0,OR(H41="",COUNTIFS('Баг-репорты'!$A$5:$A$24,TRIM(H41),'Баг-репорты'!$I$5:$I$24,"Готово")=0)),"Связь статуса и ID баг-репорта неверна",IF(AND(COUNTIF(E41:G41,"Blocked")+COUNTIF(E41:G41,"BLOCKED")&gt;0,H41=""),"Укажите причину Blocked",IF(AND(COUNTIF(E41:G41,"Failed")+COUNTIF(E41:G41,"FAILED")=0,COUNTIF(E41:G41,"Blocked")+COUNTIF(E41:G41,"BLOCKED")=0,H41&lt;&gt;""),"Связь статуса и ID баг-репорта неверна","Готово")))))))</x:f>
        <x:v>Готово</x:v>
      </x:c>
    </x:row>
    <x:row r="42" ht="15.75" customHeight="1">
      <x:c r="A42" s="12">
        <x:v>29.0</x:v>
      </x:c>
      <x:c r="B42" s="11">
        <x:v>43.0</x:v>
      </x:c>
      <x:c r="C42" s="12" t="s">
        <x:v>189</x:v>
      </x:c>
      <x:c r="D42" s="12" t="s">
        <x:v>225</x:v>
      </x:c>
      <x:c r="E42" s="11" t="s">
        <x:v>184</x:v>
      </x:c>
      <x:c r="F42" s="11" t="s">
        <x:v>184</x:v>
      </x:c>
      <x:c r="G42" s="11" t="s">
        <x:v>185</x:v>
      </x:c>
      <x:c r="H42" s="11"/>
      <x:c r="I42" s="11"/>
      <x:c r="J42" s="12" t="str">
        <x:f>IF(AND(A42="",C42=""),"",IF(AND(C42="Критический путь",B42=""),"Нет порядка выполнения для критического пути",IF(AND(B42&lt;&gt;"",COUNTBLANK(E42:G42)=3),"Заполните статус",IF(OR(AND(E42&lt;&gt;"",E42&lt;&gt;"Passed",E42&lt;&gt;"Failed",E42&lt;&gt;"Blocked",E42&lt;&gt;"Skipped",E42&lt;&gt;"PASSED",E42&lt;&gt;"FAILED",E42&lt;&gt;"BLOCKED",E42&lt;&gt;"SKIPPED"),AND(F42&lt;&gt;"",F42&lt;&gt;"Passed",F42&lt;&gt;"Failed",F42&lt;&gt;"Blocked",F42&lt;&gt;"Skipped",F42&lt;&gt;"PASSED",F42&lt;&gt;"FAILED",F42&lt;&gt;"BLOCKED",F42&lt;&gt;"SKIPPED"),AND(G42&lt;&gt;"",G42&lt;&gt;"Passed",G42&lt;&gt;"Failed",G42&lt;&gt;"Blocked",G42&lt;&gt;"Skipped",G42&lt;&gt;"PASSED",G42&lt;&gt;"FAILED",G42&lt;&gt;"BLOCKED",G42&lt;&gt;"SKIPPED")),"Статус неверен",IF(AND(COUNTIF(E42:G42,"Failed")+COUNTIF(E42:G42,"FAILED")&gt;0,OR(H42="",COUNTIFS('Баг-репорты'!$A$5:$A$24,TRIM(H42),'Баг-репорты'!$I$5:$I$24,"Готово")=0)),"Связь статуса и ID баг-репорта неверна",IF(AND(COUNTIF(E42:G42,"Blocked")+COUNTIF(E42:G42,"BLOCKED")&gt;0,H42=""),"Укажите причину Blocked",IF(AND(COUNTIF(E42:G42,"Failed")+COUNTIF(E42:G42,"FAILED")=0,COUNTIF(E42:G42,"Blocked")+COUNTIF(E42:G42,"BLOCKED")=0,H42&lt;&gt;""),"Связь статуса и ID баг-репорта неверна","Готово")))))))</x:f>
        <x:v>Готово</x:v>
      </x:c>
    </x:row>
    <x:row r="43" ht="58.5" customHeight="1">
      <x:c r="A43" s="12">
        <x:v>30.0</x:v>
      </x:c>
      <x:c r="B43" s="11">
        <x:v>12.0</x:v>
      </x:c>
      <x:c r="C43" s="12" t="s">
        <x:v>182</x:v>
      </x:c>
      <x:c r="D43" s="12" t="s">
        <x:v>226</x:v>
      </x:c>
      <x:c r="E43" s="11" t="s">
        <x:v>187</x:v>
      </x:c>
      <x:c r="F43" s="11" t="s">
        <x:v>187</x:v>
      </x:c>
      <x:c r="G43" s="11" t="s">
        <x:v>185</x:v>
      </x:c>
      <x:c r="H43" s="16" t="s">
        <x:v>208</x:v>
      </x:c>
      <x:c r="I43" s="11"/>
      <x:c r="J43" s="12" t="str">
        <x:f>IF(AND(A43="",C43=""),"",IF(AND(C43="Критический путь",B43=""),"Нет порядка выполнения для критического пути",IF(AND(B43&lt;&gt;"",COUNTBLANK(E43:G43)=3),"Заполните статус",IF(OR(AND(E43&lt;&gt;"",E43&lt;&gt;"Passed",E43&lt;&gt;"Failed",E43&lt;&gt;"Blocked",E43&lt;&gt;"Skipped",E43&lt;&gt;"PASSED",E43&lt;&gt;"FAILED",E43&lt;&gt;"BLOCKED",E43&lt;&gt;"SKIPPED"),AND(F43&lt;&gt;"",F43&lt;&gt;"Passed",F43&lt;&gt;"Failed",F43&lt;&gt;"Blocked",F43&lt;&gt;"Skipped",F43&lt;&gt;"PASSED",F43&lt;&gt;"FAILED",F43&lt;&gt;"BLOCKED",F43&lt;&gt;"SKIPPED"),AND(G43&lt;&gt;"",G43&lt;&gt;"Passed",G43&lt;&gt;"Failed",G43&lt;&gt;"Blocked",G43&lt;&gt;"Skipped",G43&lt;&gt;"PASSED",G43&lt;&gt;"FAILED",G43&lt;&gt;"BLOCKED",G43&lt;&gt;"SKIPPED")),"Статус неверен",IF(AND(COUNTIF(E43:G43,"Failed")+COUNTIF(E43:G43,"FAILED")&gt;0,OR(H43="",COUNTIFS('Баг-репорты'!$A$5:$A$24,TRIM(H43),'Баг-репорты'!$I$5:$I$24,"Готово")=0)),"Связь статуса и ID баг-репорта неверна",IF(AND(COUNTIF(E43:G43,"Blocked")+COUNTIF(E43:G43,"BLOCKED")&gt;0,H43=""),"Укажите причину Blocked",IF(AND(COUNTIF(E43:G43,"Failed")+COUNTIF(E43:G43,"FAILED")=0,COUNTIF(E43:G43,"Blocked")+COUNTIF(E43:G43,"BLOCKED")=0,H43&lt;&gt;""),"Связь статуса и ID баг-репорта неверна","Готово")))))))</x:f>
        <x:v>Готово</x:v>
      </x:c>
    </x:row>
    <x:row r="44" ht="89.25" customHeight="1">
      <x:c r="A44" s="12">
        <x:v>31.0</x:v>
      </x:c>
      <x:c r="B44" s="11">
        <x:v>44.0</x:v>
      </x:c>
      <x:c r="C44" s="12" t="s">
        <x:v>189</x:v>
      </x:c>
      <x:c r="D44" s="12" t="s">
        <x:v>227</x:v>
      </x:c>
      <x:c r="E44" s="11" t="s">
        <x:v>187</x:v>
      </x:c>
      <x:c r="F44" s="11" t="s">
        <x:v>187</x:v>
      </x:c>
      <x:c r="G44" s="11" t="s">
        <x:v>185</x:v>
      </x:c>
      <x:c r="H44" s="16" t="s">
        <x:v>228</x:v>
      </x:c>
      <x:c r="I44" s="11"/>
      <x:c r="J44" s="12" t="str">
        <x:f>IF(AND(A44="",C44=""),"",IF(AND(C44="Критический путь",B44=""),"Нет порядка выполнения для критического пути",IF(AND(B44&lt;&gt;"",COUNTBLANK(E44:G44)=3),"Заполните статус",IF(OR(AND(E44&lt;&gt;"",E44&lt;&gt;"Passed",E44&lt;&gt;"Failed",E44&lt;&gt;"Blocked",E44&lt;&gt;"Skipped",E44&lt;&gt;"PASSED",E44&lt;&gt;"FAILED",E44&lt;&gt;"BLOCKED",E44&lt;&gt;"SKIPPED"),AND(F44&lt;&gt;"",F44&lt;&gt;"Passed",F44&lt;&gt;"Failed",F44&lt;&gt;"Blocked",F44&lt;&gt;"Skipped",F44&lt;&gt;"PASSED",F44&lt;&gt;"FAILED",F44&lt;&gt;"BLOCKED",F44&lt;&gt;"SKIPPED"),AND(G44&lt;&gt;"",G44&lt;&gt;"Passed",G44&lt;&gt;"Failed",G44&lt;&gt;"Blocked",G44&lt;&gt;"Skipped",G44&lt;&gt;"PASSED",G44&lt;&gt;"FAILED",G44&lt;&gt;"BLOCKED",G44&lt;&gt;"SKIPPED")),"Статус неверен",IF(AND(COUNTIF(E44:G44,"Failed")+COUNTIF(E44:G44,"FAILED")&gt;0,OR(H44="",COUNTIFS('Баг-репорты'!$A$5:$A$24,TRIM(H44),'Баг-репорты'!$I$5:$I$24,"Готово")=0)),"Связь статуса и ID баг-репорта неверна",IF(AND(COUNTIF(E44:G44,"Blocked")+COUNTIF(E44:G44,"BLOCKED")&gt;0,H44=""),"Укажите причину Blocked",IF(AND(COUNTIF(E44:G44,"Failed")+COUNTIF(E44:G44,"FAILED")=0,COUNTIF(E44:G44,"Blocked")+COUNTIF(E44:G44,"BLOCKED")=0,H44&lt;&gt;""),"Связь статуса и ID баг-репорта неверна","Готово")))))))</x:f>
        <x:v>Готово</x:v>
      </x:c>
    </x:row>
    <x:row r="45" ht="64.5" customHeight="1">
      <x:c r="A45" s="12">
        <x:v>32.0</x:v>
      </x:c>
      <x:c r="B45" s="11">
        <x:v>45.0</x:v>
      </x:c>
      <x:c r="C45" s="12" t="s">
        <x:v>189</x:v>
      </x:c>
      <x:c r="D45" s="12" t="s">
        <x:v>229</x:v>
      </x:c>
      <x:c r="E45" s="11" t="s">
        <x:v>187</x:v>
      </x:c>
      <x:c r="F45" s="11" t="s">
        <x:v>187</x:v>
      </x:c>
      <x:c r="G45" s="11" t="s">
        <x:v>185</x:v>
      </x:c>
      <x:c r="H45" s="16" t="s">
        <x:v>228</x:v>
      </x:c>
      <x:c r="I45" s="11"/>
      <x:c r="J45" s="12" t="str">
        <x:f>IF(AND(A45="",C45=""),"",IF(AND(C45="Критический путь",B45=""),"Нет порядка выполнения для критического пути",IF(AND(B45&lt;&gt;"",COUNTBLANK(E45:G45)=3),"Заполните статус",IF(OR(AND(E45&lt;&gt;"",E45&lt;&gt;"Passed",E45&lt;&gt;"Failed",E45&lt;&gt;"Blocked",E45&lt;&gt;"Skipped",E45&lt;&gt;"PASSED",E45&lt;&gt;"FAILED",E45&lt;&gt;"BLOCKED",E45&lt;&gt;"SKIPPED"),AND(F45&lt;&gt;"",F45&lt;&gt;"Passed",F45&lt;&gt;"Failed",F45&lt;&gt;"Blocked",F45&lt;&gt;"Skipped",F45&lt;&gt;"PASSED",F45&lt;&gt;"FAILED",F45&lt;&gt;"BLOCKED",F45&lt;&gt;"SKIPPED"),AND(G45&lt;&gt;"",G45&lt;&gt;"Passed",G45&lt;&gt;"Failed",G45&lt;&gt;"Blocked",G45&lt;&gt;"Skipped",G45&lt;&gt;"PASSED",G45&lt;&gt;"FAILED",G45&lt;&gt;"BLOCKED",G45&lt;&gt;"SKIPPED")),"Статус неверен",IF(AND(COUNTIF(E45:G45,"Failed")+COUNTIF(E45:G45,"FAILED")&gt;0,OR(H45="",COUNTIFS('Баг-репорты'!$A$5:$A$24,TRIM(H45),'Баг-репорты'!$I$5:$I$24,"Готово")=0)),"Связь статуса и ID баг-репорта неверна",IF(AND(COUNTIF(E45:G45,"Blocked")+COUNTIF(E45:G45,"BLOCKED")&gt;0,H45=""),"Укажите причину Blocked",IF(AND(COUNTIF(E45:G45,"Failed")+COUNTIF(E45:G45,"FAILED")=0,COUNTIF(E45:G45,"Blocked")+COUNTIF(E45:G45,"BLOCKED")=0,H45&lt;&gt;""),"Связь статуса и ID баг-репорта неверна","Готово")))))))</x:f>
        <x:v>Готово</x:v>
      </x:c>
    </x:row>
    <x:row r="46" ht="15.75" customHeight="1">
      <x:c r="A46" s="12"/>
      <x:c r="B46" s="11"/>
      <x:c r="C46" s="12"/>
      <x:c r="D46" s="12"/>
      <x:c r="E46" s="11"/>
      <x:c r="F46" s="11"/>
      <x:c r="G46" s="11"/>
      <x:c r="H46" s="11"/>
      <x:c r="I46" s="11"/>
      <x:c r="J46" s="12" t="str">
        <x:f>IF(AND(A46="",C46=""),"",IF(AND(C46="Критический путь",B46=""),"Нет порядка выполнения для критического пути",IF(AND(B46&lt;&gt;"",COUNTBLANK(E46:G46)=3),"Заполните статус",IF(OR(AND(E46&lt;&gt;"",E46&lt;&gt;"Passed",E46&lt;&gt;"Failed",E46&lt;&gt;"Blocked",E46&lt;&gt;"Skipped",E46&lt;&gt;"PASSED",E46&lt;&gt;"FAILED",E46&lt;&gt;"BLOCKED",E46&lt;&gt;"SKIPPED"),AND(F46&lt;&gt;"",F46&lt;&gt;"Passed",F46&lt;&gt;"Failed",F46&lt;&gt;"Blocked",F46&lt;&gt;"Skipped",F46&lt;&gt;"PASSED",F46&lt;&gt;"FAILED",F46&lt;&gt;"BLOCKED",F46&lt;&gt;"SKIPPED"),AND(G46&lt;&gt;"",G46&lt;&gt;"Passed",G46&lt;&gt;"Failed",G46&lt;&gt;"Blocked",G46&lt;&gt;"Skipped",G46&lt;&gt;"PASSED",G46&lt;&gt;"FAILED",G46&lt;&gt;"BLOCKED",G46&lt;&gt;"SKIPPED")),"Статус неверен",IF(AND(COUNTIF(E46:G46,"Failed")+COUNTIF(E46:G46,"FAILED")&gt;0,OR(H46="",COUNTIFS('Баг-репорты'!$A$5:$A$24,TRIM(H46),'Баг-репорты'!$I$5:$I$24,"Готово")=0)),"Связь статуса и ID баг-репорта неверна",IF(AND(COUNTIF(E46:G46,"Blocked")+COUNTIF(E46:G46,"BLOCKED")&gt;0,H46=""),"Укажите причину Blocked",IF(AND(COUNTIF(E46:G46,"Failed")+COUNTIF(E46:G46,"FAILED")=0,COUNTIF(E46:G46,"Blocked")+COUNTIF(E46:G46,"BLOCKED")=0,H46&lt;&gt;""),"Связь статуса и ID баг-репорта неверна","Готово")))))))</x:f>
      </x:c>
    </x:row>
    <x:row r="47" ht="21" customHeight="1">
      <x:c r="A47" s="9" t="s">
        <x:v>230</x:v>
      </x:c>
      <x:c r="B47" s="3"/>
      <x:c r="C47" s="3"/>
      <x:c r="D47" s="3"/>
      <x:c r="E47" s="3"/>
      <x:c r="F47" s="3"/>
      <x:c r="G47" s="3"/>
      <x:c r="H47" s="3"/>
      <x:c r="I47" s="3"/>
      <x:c r="J47" s="4"/>
    </x:row>
    <x:row r="48" ht="57.75" customHeight="1">
      <x:c r="A48" s="12">
        <x:v>33.0</x:v>
      </x:c>
      <x:c r="B48" s="11">
        <x:v>13.0</x:v>
      </x:c>
      <x:c r="C48" s="12" t="s">
        <x:v>182</x:v>
      </x:c>
      <x:c r="D48" s="12" t="s">
        <x:v>231</x:v>
      </x:c>
      <x:c r="E48" s="11" t="s">
        <x:v>184</x:v>
      </x:c>
      <x:c r="F48" s="11" t="s">
        <x:v>184</x:v>
      </x:c>
      <x:c r="G48" s="11" t="s">
        <x:v>185</x:v>
      </x:c>
      <x:c r="H48" s="11"/>
      <x:c r="I48" s="11"/>
      <x:c r="J48" s="12" t="str">
        <x:f>IF(AND(A48="",C48=""),"",IF(AND(C48="Критический путь",B48=""),"Нет порядка выполнения для критического пути",IF(AND(B48&lt;&gt;"",COUNTBLANK(E48:G48)=3),"Заполните статус",IF(OR(AND(E48&lt;&gt;"",E48&lt;&gt;"Passed",E48&lt;&gt;"Failed",E48&lt;&gt;"Blocked",E48&lt;&gt;"Skipped",E48&lt;&gt;"PASSED",E48&lt;&gt;"FAILED",E48&lt;&gt;"BLOCKED",E48&lt;&gt;"SKIPPED"),AND(F48&lt;&gt;"",F48&lt;&gt;"Passed",F48&lt;&gt;"Failed",F48&lt;&gt;"Blocked",F48&lt;&gt;"Skipped",F48&lt;&gt;"PASSED",F48&lt;&gt;"FAILED",F48&lt;&gt;"BLOCKED",F48&lt;&gt;"SKIPPED"),AND(G48&lt;&gt;"",G48&lt;&gt;"Passed",G48&lt;&gt;"Failed",G48&lt;&gt;"Blocked",G48&lt;&gt;"Skipped",G48&lt;&gt;"PASSED",G48&lt;&gt;"FAILED",G48&lt;&gt;"BLOCKED",G48&lt;&gt;"SKIPPED")),"Статус неверен",IF(AND(COUNTIF(E48:G48,"Failed")+COUNTIF(E48:G48,"FAILED")&gt;0,OR(H48="",COUNTIFS('Баг-репорты'!$A$5:$A$24,TRIM(H48),'Баг-репорты'!$I$5:$I$24,"Готово")=0)),"Связь статуса и ID баг-репорта неверна",IF(AND(COUNTIF(E48:G48,"Blocked")+COUNTIF(E48:G48,"BLOCKED")&gt;0,H48=""),"Укажите причину Blocked",IF(AND(COUNTIF(E48:G48,"Failed")+COUNTIF(E48:G48,"FAILED")=0,COUNTIF(E48:G48,"Blocked")+COUNTIF(E48:G48,"BLOCKED")=0,H48&lt;&gt;""),"Связь статуса и ID баг-репорта неверна","Готово")))))))</x:f>
        <x:v>Готово</x:v>
      </x:c>
    </x:row>
    <x:row r="49" ht="77.25" customHeight="1">
      <x:c r="A49" s="12">
        <x:v>34.0</x:v>
      </x:c>
      <x:c r="B49" s="11">
        <x:v>14.0</x:v>
      </x:c>
      <x:c r="C49" s="12" t="s">
        <x:v>182</x:v>
      </x:c>
      <x:c r="D49" s="12" t="s">
        <x:v>232</x:v>
      </x:c>
      <x:c r="E49" s="11" t="s">
        <x:v>196</x:v>
      </x:c>
      <x:c r="F49" s="11" t="s">
        <x:v>196</x:v>
      </x:c>
      <x:c r="G49" s="11" t="s">
        <x:v>185</x:v>
      </x:c>
      <x:c r="H49" s="16" t="s">
        <x:v>194</x:v>
      </x:c>
      <x:c r="I49" s="11" t="s">
        <x:v>233</x:v>
      </x:c>
      <x:c r="J49" s="12" t="str">
        <x:f>IF(AND(A49="",C49=""),"",IF(AND(C49="Критический путь",B49=""),"Нет порядка выполнения для критического пути",IF(AND(B49&lt;&gt;"",COUNTBLANK(E49:G49)=3),"Заполните статус",IF(OR(AND(E49&lt;&gt;"",E49&lt;&gt;"Passed",E49&lt;&gt;"Failed",E49&lt;&gt;"Blocked",E49&lt;&gt;"Skipped",E49&lt;&gt;"PASSED",E49&lt;&gt;"FAILED",E49&lt;&gt;"BLOCKED",E49&lt;&gt;"SKIPPED"),AND(F49&lt;&gt;"",F49&lt;&gt;"Passed",F49&lt;&gt;"Failed",F49&lt;&gt;"Blocked",F49&lt;&gt;"Skipped",F49&lt;&gt;"PASSED",F49&lt;&gt;"FAILED",F49&lt;&gt;"BLOCKED",F49&lt;&gt;"SKIPPED"),AND(G49&lt;&gt;"",G49&lt;&gt;"Passed",G49&lt;&gt;"Failed",G49&lt;&gt;"Blocked",G49&lt;&gt;"Skipped",G49&lt;&gt;"PASSED",G49&lt;&gt;"FAILED",G49&lt;&gt;"BLOCKED",G49&lt;&gt;"SKIPPED")),"Статус неверен",IF(AND(COUNTIF(E49:G49,"Failed")+COUNTIF(E49:G49,"FAILED")&gt;0,OR(H49="",COUNTIFS('Баг-репорты'!$A$5:$A$24,TRIM(H49),'Баг-репорты'!$I$5:$I$24,"Готово")=0)),"Связь статуса и ID баг-репорта неверна",IF(AND(COUNTIF(E49:G49,"Blocked")+COUNTIF(E49:G49,"BLOCKED")&gt;0,H49=""),"Укажите причину Blocked",IF(AND(COUNTIF(E49:G49,"Failed")+COUNTIF(E49:G49,"FAILED")=0,COUNTIF(E49:G49,"Blocked")+COUNTIF(E49:G49,"BLOCKED")=0,H49&lt;&gt;""),"Связь статуса и ID баг-репорта неверна","Готово")))))))</x:f>
        <x:v>Готово</x:v>
      </x:c>
    </x:row>
    <x:row r="50" ht="53.25" customHeight="1">
      <x:c r="A50" s="12">
        <x:v>35.0</x:v>
      </x:c>
      <x:c r="B50" s="11">
        <x:v>15.0</x:v>
      </x:c>
      <x:c r="C50" s="12" t="s">
        <x:v>182</x:v>
      </x:c>
      <x:c r="D50" s="12" t="s">
        <x:v>234</x:v>
      </x:c>
      <x:c r="E50" s="11" t="s">
        <x:v>184</x:v>
      </x:c>
      <x:c r="F50" s="11" t="s">
        <x:v>184</x:v>
      </x:c>
      <x:c r="G50" s="11" t="s">
        <x:v>185</x:v>
      </x:c>
      <x:c r="H50" s="11"/>
      <x:c r="I50" s="11"/>
      <x:c r="J50" s="12" t="str">
        <x:f>IF(AND(A50="",C50=""),"",IF(AND(C50="Критический путь",B50=""),"Нет порядка выполнения для критического пути",IF(AND(B50&lt;&gt;"",COUNTBLANK(E50:G50)=3),"Заполните статус",IF(OR(AND(E50&lt;&gt;"",E50&lt;&gt;"Passed",E50&lt;&gt;"Failed",E50&lt;&gt;"Blocked",E50&lt;&gt;"Skipped",E50&lt;&gt;"PASSED",E50&lt;&gt;"FAILED",E50&lt;&gt;"BLOCKED",E50&lt;&gt;"SKIPPED"),AND(F50&lt;&gt;"",F50&lt;&gt;"Passed",F50&lt;&gt;"Failed",F50&lt;&gt;"Blocked",F50&lt;&gt;"Skipped",F50&lt;&gt;"PASSED",F50&lt;&gt;"FAILED",F50&lt;&gt;"BLOCKED",F50&lt;&gt;"SKIPPED"),AND(G50&lt;&gt;"",G50&lt;&gt;"Passed",G50&lt;&gt;"Failed",G50&lt;&gt;"Blocked",G50&lt;&gt;"Skipped",G50&lt;&gt;"PASSED",G50&lt;&gt;"FAILED",G50&lt;&gt;"BLOCKED",G50&lt;&gt;"SKIPPED")),"Статус неверен",IF(AND(COUNTIF(E50:G50,"Failed")+COUNTIF(E50:G50,"FAILED")&gt;0,OR(H50="",COUNTIFS('Баг-репорты'!$A$5:$A$24,TRIM(H50),'Баг-репорты'!$I$5:$I$24,"Готово")=0)),"Связь статуса и ID баг-репорта неверна",IF(AND(COUNTIF(E50:G50,"Blocked")+COUNTIF(E50:G50,"BLOCKED")&gt;0,H50=""),"Укажите причину Blocked",IF(AND(COUNTIF(E50:G50,"Failed")+COUNTIF(E50:G50,"FAILED")=0,COUNTIF(E50:G50,"Blocked")+COUNTIF(E50:G50,"BLOCKED")=0,H50&lt;&gt;""),"Связь статуса и ID баг-репорта неверна","Готово")))))))</x:f>
        <x:v>Готово</x:v>
      </x:c>
    </x:row>
    <x:row r="51" ht="85.5" customHeight="1">
      <x:c r="A51" s="12">
        <x:v>36.0</x:v>
      </x:c>
      <x:c r="B51" s="11">
        <x:v>46.0</x:v>
      </x:c>
      <x:c r="C51" s="12" t="s">
        <x:v>189</x:v>
      </x:c>
      <x:c r="D51" s="12" t="s">
        <x:v>235</x:v>
      </x:c>
      <x:c r="E51" s="11" t="s">
        <x:v>184</x:v>
      </x:c>
      <x:c r="F51" s="11" t="s">
        <x:v>184</x:v>
      </x:c>
      <x:c r="G51" s="11" t="s">
        <x:v>185</x:v>
      </x:c>
      <x:c r="H51" s="11"/>
      <x:c r="I51" s="11"/>
      <x:c r="J51" s="12" t="str">
        <x:f>IF(AND(A51="",C51=""),"",IF(AND(C51="Критический путь",B51=""),"Нет порядка выполнения для критического пути",IF(AND(B51&lt;&gt;"",COUNTBLANK(E51:G51)=3),"Заполните статус",IF(OR(AND(E51&lt;&gt;"",E51&lt;&gt;"Passed",E51&lt;&gt;"Failed",E51&lt;&gt;"Blocked",E51&lt;&gt;"Skipped",E51&lt;&gt;"PASSED",E51&lt;&gt;"FAILED",E51&lt;&gt;"BLOCKED",E51&lt;&gt;"SKIPPED"),AND(F51&lt;&gt;"",F51&lt;&gt;"Passed",F51&lt;&gt;"Failed",F51&lt;&gt;"Blocked",F51&lt;&gt;"Skipped",F51&lt;&gt;"PASSED",F51&lt;&gt;"FAILED",F51&lt;&gt;"BLOCKED",F51&lt;&gt;"SKIPPED"),AND(G51&lt;&gt;"",G51&lt;&gt;"Passed",G51&lt;&gt;"Failed",G51&lt;&gt;"Blocked",G51&lt;&gt;"Skipped",G51&lt;&gt;"PASSED",G51&lt;&gt;"FAILED",G51&lt;&gt;"BLOCKED",G51&lt;&gt;"SKIPPED")),"Статус неверен",IF(AND(COUNTIF(E51:G51,"Failed")+COUNTIF(E51:G51,"FAILED")&gt;0,OR(H51="",COUNTIFS('Баг-репорты'!$A$5:$A$24,TRIM(H51),'Баг-репорты'!$I$5:$I$24,"Готово")=0)),"Связь статуса и ID баг-репорта неверна",IF(AND(COUNTIF(E51:G51,"Blocked")+COUNTIF(E51:G51,"BLOCKED")&gt;0,H51=""),"Укажите причину Blocked",IF(AND(COUNTIF(E51:G51,"Failed")+COUNTIF(E51:G51,"FAILED")=0,COUNTIF(E51:G51,"Blocked")+COUNTIF(E51:G51,"BLOCKED")=0,H51&lt;&gt;""),"Связь статуса и ID баг-репорта неверна","Готово")))))))</x:f>
        <x:v>Готово</x:v>
      </x:c>
    </x:row>
    <x:row r="52" ht="84.75" customHeight="1">
      <x:c r="A52" s="12">
        <x:v>37.0</x:v>
      </x:c>
      <x:c r="B52" s="11">
        <x:v>47.0</x:v>
      </x:c>
      <x:c r="C52" s="12" t="s">
        <x:v>189</x:v>
      </x:c>
      <x:c r="D52" s="12" t="s">
        <x:v>236</x:v>
      </x:c>
      <x:c r="E52" s="11" t="s">
        <x:v>184</x:v>
      </x:c>
      <x:c r="F52" s="11" t="s">
        <x:v>184</x:v>
      </x:c>
      <x:c r="G52" s="11" t="s">
        <x:v>185</x:v>
      </x:c>
      <x:c r="H52" s="11"/>
      <x:c r="I52" s="11"/>
      <x:c r="J52" s="12" t="str">
        <x:f>IF(AND(A52="",C52=""),"",IF(AND(C52="Критический путь",B52=""),"Нет порядка выполнения для критического пути",IF(AND(B52&lt;&gt;"",COUNTBLANK(E52:G52)=3),"Заполните статус",IF(OR(AND(E52&lt;&gt;"",E52&lt;&gt;"Passed",E52&lt;&gt;"Failed",E52&lt;&gt;"Blocked",E52&lt;&gt;"Skipped",E52&lt;&gt;"PASSED",E52&lt;&gt;"FAILED",E52&lt;&gt;"BLOCKED",E52&lt;&gt;"SKIPPED"),AND(F52&lt;&gt;"",F52&lt;&gt;"Passed",F52&lt;&gt;"Failed",F52&lt;&gt;"Blocked",F52&lt;&gt;"Skipped",F52&lt;&gt;"PASSED",F52&lt;&gt;"FAILED",F52&lt;&gt;"BLOCKED",F52&lt;&gt;"SKIPPED"),AND(G52&lt;&gt;"",G52&lt;&gt;"Passed",G52&lt;&gt;"Failed",G52&lt;&gt;"Blocked",G52&lt;&gt;"Skipped",G52&lt;&gt;"PASSED",G52&lt;&gt;"FAILED",G52&lt;&gt;"BLOCKED",G52&lt;&gt;"SKIPPED")),"Статус неверен",IF(AND(COUNTIF(E52:G52,"Failed")+COUNTIF(E52:G52,"FAILED")&gt;0,OR(H52="",COUNTIFS('Баг-репорты'!$A$5:$A$24,TRIM(H52),'Баг-репорты'!$I$5:$I$24,"Готово")=0)),"Связь статуса и ID баг-репорта неверна",IF(AND(COUNTIF(E52:G52,"Blocked")+COUNTIF(E52:G52,"BLOCKED")&gt;0,H52=""),"Укажите причину Blocked",IF(AND(COUNTIF(E52:G52,"Failed")+COUNTIF(E52:G52,"FAILED")=0,COUNTIF(E52:G52,"Blocked")+COUNTIF(E52:G52,"BLOCKED")=0,H52&lt;&gt;""),"Связь статуса и ID баг-репорта неверна","Готово")))))))</x:f>
        <x:v>Готово</x:v>
      </x:c>
    </x:row>
    <x:row r="53" ht="51" customHeight="1">
      <x:c r="A53" s="12">
        <x:v>38.0</x:v>
      </x:c>
      <x:c r="B53" s="11">
        <x:v>48.0</x:v>
      </x:c>
      <x:c r="C53" s="12" t="s">
        <x:v>189</x:v>
      </x:c>
      <x:c r="D53" s="12" t="s">
        <x:v>198</x:v>
      </x:c>
      <x:c r="E53" s="11" t="s">
        <x:v>184</x:v>
      </x:c>
      <x:c r="F53" s="11" t="s">
        <x:v>184</x:v>
      </x:c>
      <x:c r="G53" s="11" t="s">
        <x:v>185</x:v>
      </x:c>
      <x:c r="H53" s="11"/>
      <x:c r="I53" s="11"/>
      <x:c r="J53" s="12" t="str">
        <x:f>IF(AND(A53="",C53=""),"",IF(AND(C53="Критический путь",B53=""),"Нет порядка выполнения для критического пути",IF(AND(B53&lt;&gt;"",COUNTBLANK(E53:G53)=3),"Заполните статус",IF(OR(AND(E53&lt;&gt;"",E53&lt;&gt;"Passed",E53&lt;&gt;"Failed",E53&lt;&gt;"Blocked",E53&lt;&gt;"Skipped",E53&lt;&gt;"PASSED",E53&lt;&gt;"FAILED",E53&lt;&gt;"BLOCKED",E53&lt;&gt;"SKIPPED"),AND(F53&lt;&gt;"",F53&lt;&gt;"Passed",F53&lt;&gt;"Failed",F53&lt;&gt;"Blocked",F53&lt;&gt;"Skipped",F53&lt;&gt;"PASSED",F53&lt;&gt;"FAILED",F53&lt;&gt;"BLOCKED",F53&lt;&gt;"SKIPPED"),AND(G53&lt;&gt;"",G53&lt;&gt;"Passed",G53&lt;&gt;"Failed",G53&lt;&gt;"Blocked",G53&lt;&gt;"Skipped",G53&lt;&gt;"PASSED",G53&lt;&gt;"FAILED",G53&lt;&gt;"BLOCKED",G53&lt;&gt;"SKIPPED")),"Статус неверен",IF(AND(COUNTIF(E53:G53,"Failed")+COUNTIF(E53:G53,"FAILED")&gt;0,OR(H53="",COUNTIFS('Баг-репорты'!$A$5:$A$24,TRIM(H53),'Баг-репорты'!$I$5:$I$24,"Готово")=0)),"Связь статуса и ID баг-репорта неверна",IF(AND(COUNTIF(E53:G53,"Blocked")+COUNTIF(E53:G53,"BLOCKED")&gt;0,H53=""),"Укажите причину Blocked",IF(AND(COUNTIF(E53:G53,"Failed")+COUNTIF(E53:G53,"FAILED")=0,COUNTIF(E53:G53,"Blocked")+COUNTIF(E53:G53,"BLOCKED")=0,H53&lt;&gt;""),"Связь статуса и ID баг-репорта неверна","Готово")))))))</x:f>
        <x:v>Готово</x:v>
      </x:c>
    </x:row>
    <x:row r="54" ht="70.5" customHeight="1">
      <x:c r="A54" s="12">
        <x:v>39.0</x:v>
      </x:c>
      <x:c r="B54" s="11">
        <x:v>49.0</x:v>
      </x:c>
      <x:c r="C54" s="12" t="s">
        <x:v>189</x:v>
      </x:c>
      <x:c r="D54" s="12" t="s">
        <x:v>237</x:v>
      </x:c>
      <x:c r="E54" s="11" t="s">
        <x:v>184</x:v>
      </x:c>
      <x:c r="F54" s="11" t="s">
        <x:v>184</x:v>
      </x:c>
      <x:c r="G54" s="11" t="s">
        <x:v>185</x:v>
      </x:c>
      <x:c r="H54" s="11"/>
      <x:c r="I54" s="11"/>
      <x:c r="J54" s="12" t="str">
        <x:f>IF(AND(A54="",C54=""),"",IF(AND(C54="Критический путь",B54=""),"Нет порядка выполнения для критического пути",IF(AND(B54&lt;&gt;"",COUNTBLANK(E54:G54)=3),"Заполните статус",IF(OR(AND(E54&lt;&gt;"",E54&lt;&gt;"Passed",E54&lt;&gt;"Failed",E54&lt;&gt;"Blocked",E54&lt;&gt;"Skipped",E54&lt;&gt;"PASSED",E54&lt;&gt;"FAILED",E54&lt;&gt;"BLOCKED",E54&lt;&gt;"SKIPPED"),AND(F54&lt;&gt;"",F54&lt;&gt;"Passed",F54&lt;&gt;"Failed",F54&lt;&gt;"Blocked",F54&lt;&gt;"Skipped",F54&lt;&gt;"PASSED",F54&lt;&gt;"FAILED",F54&lt;&gt;"BLOCKED",F54&lt;&gt;"SKIPPED"),AND(G54&lt;&gt;"",G54&lt;&gt;"Passed",G54&lt;&gt;"Failed",G54&lt;&gt;"Blocked",G54&lt;&gt;"Skipped",G54&lt;&gt;"PASSED",G54&lt;&gt;"FAILED",G54&lt;&gt;"BLOCKED",G54&lt;&gt;"SKIPPED")),"Статус неверен",IF(AND(COUNTIF(E54:G54,"Failed")+COUNTIF(E54:G54,"FAILED")&gt;0,OR(H54="",COUNTIFS('Баг-репорты'!$A$5:$A$24,TRIM(H54),'Баг-репорты'!$I$5:$I$24,"Готово")=0)),"Связь статуса и ID баг-репорта неверна",IF(AND(COUNTIF(E54:G54,"Blocked")+COUNTIF(E54:G54,"BLOCKED")&gt;0,H54=""),"Укажите причину Blocked",IF(AND(COUNTIF(E54:G54,"Failed")+COUNTIF(E54:G54,"FAILED")=0,COUNTIF(E54:G54,"Blocked")+COUNTIF(E54:G54,"BLOCKED")=0,H54&lt;&gt;""),"Связь статуса и ID баг-репорта неверна","Готово")))))))</x:f>
        <x:v>Готово</x:v>
      </x:c>
    </x:row>
    <x:row r="55" ht="59.25" customHeight="1">
      <x:c r="A55" s="12">
        <x:v>40.0</x:v>
      </x:c>
      <x:c r="B55" s="11">
        <x:v>16.0</x:v>
      </x:c>
      <x:c r="C55" s="12" t="s">
        <x:v>182</x:v>
      </x:c>
      <x:c r="D55" s="12" t="s">
        <x:v>238</x:v>
      </x:c>
      <x:c r="E55" s="11" t="s">
        <x:v>187</x:v>
      </x:c>
      <x:c r="F55" s="11" t="s">
        <x:v>187</x:v>
      </x:c>
      <x:c r="G55" s="11" t="s">
        <x:v>185</x:v>
      </x:c>
      <x:c r="H55" s="16" t="s">
        <x:v>239</x:v>
      </x:c>
      <x:c r="I55" s="11"/>
      <x:c r="J55" s="12" t="str">
        <x:f>IF(AND(A55="",C55=""),"",IF(AND(C55="Критический путь",B55=""),"Нет порядка выполнения для критического пути",IF(AND(B55&lt;&gt;"",COUNTBLANK(E55:G55)=3),"Заполните статус",IF(OR(AND(E55&lt;&gt;"",E55&lt;&gt;"Passed",E55&lt;&gt;"Failed",E55&lt;&gt;"Blocked",E55&lt;&gt;"Skipped",E55&lt;&gt;"PASSED",E55&lt;&gt;"FAILED",E55&lt;&gt;"BLOCKED",E55&lt;&gt;"SKIPPED"),AND(F55&lt;&gt;"",F55&lt;&gt;"Passed",F55&lt;&gt;"Failed",F55&lt;&gt;"Blocked",F55&lt;&gt;"Skipped",F55&lt;&gt;"PASSED",F55&lt;&gt;"FAILED",F55&lt;&gt;"BLOCKED",F55&lt;&gt;"SKIPPED"),AND(G55&lt;&gt;"",G55&lt;&gt;"Passed",G55&lt;&gt;"Failed",G55&lt;&gt;"Blocked",G55&lt;&gt;"Skipped",G55&lt;&gt;"PASSED",G55&lt;&gt;"FAILED",G55&lt;&gt;"BLOCKED",G55&lt;&gt;"SKIPPED")),"Статус неверен",IF(AND(COUNTIF(E55:G55,"Failed")+COUNTIF(E55:G55,"FAILED")&gt;0,OR(H55="",COUNTIFS('Баг-репорты'!$A$5:$A$24,TRIM(H55),'Баг-репорты'!$I$5:$I$24,"Готово")=0)),"Связь статуса и ID баг-репорта неверна",IF(AND(COUNTIF(E55:G55,"Blocked")+COUNTIF(E55:G55,"BLOCKED")&gt;0,H55=""),"Укажите причину Blocked",IF(AND(COUNTIF(E55:G55,"Failed")+COUNTIF(E55:G55,"FAILED")=0,COUNTIF(E55:G55,"Blocked")+COUNTIF(E55:G55,"BLOCKED")=0,H55&lt;&gt;""),"Связь статуса и ID баг-репорта неверна","Готово")))))))</x:f>
        <x:v>Готово</x:v>
      </x:c>
    </x:row>
    <x:row r="56" ht="50.25" customHeight="1">
      <x:c r="A56" s="12">
        <x:v>41.0</x:v>
      </x:c>
      <x:c r="B56" s="11">
        <x:v>17.0</x:v>
      </x:c>
      <x:c r="C56" s="12" t="s">
        <x:v>182</x:v>
      </x:c>
      <x:c r="D56" s="12" t="s">
        <x:v>240</x:v>
      </x:c>
      <x:c r="E56" s="11" t="s">
        <x:v>187</x:v>
      </x:c>
      <x:c r="F56" s="11" t="s">
        <x:v>187</x:v>
      </x:c>
      <x:c r="G56" s="11" t="s">
        <x:v>185</x:v>
      </x:c>
      <x:c r="H56" s="16" t="s">
        <x:v>239</x:v>
      </x:c>
      <x:c r="I56" s="11"/>
      <x:c r="J56" s="12" t="str">
        <x:f>IF(AND(A56="",C56=""),"",IF(AND(C56="Критический путь",B56=""),"Нет порядка выполнения для критического пути",IF(AND(B56&lt;&gt;"",COUNTBLANK(E56:G56)=3),"Заполните статус",IF(OR(AND(E56&lt;&gt;"",E56&lt;&gt;"Passed",E56&lt;&gt;"Failed",E56&lt;&gt;"Blocked",E56&lt;&gt;"Skipped",E56&lt;&gt;"PASSED",E56&lt;&gt;"FAILED",E56&lt;&gt;"BLOCKED",E56&lt;&gt;"SKIPPED"),AND(F56&lt;&gt;"",F56&lt;&gt;"Passed",F56&lt;&gt;"Failed",F56&lt;&gt;"Blocked",F56&lt;&gt;"Skipped",F56&lt;&gt;"PASSED",F56&lt;&gt;"FAILED",F56&lt;&gt;"BLOCKED",F56&lt;&gt;"SKIPPED"),AND(G56&lt;&gt;"",G56&lt;&gt;"Passed",G56&lt;&gt;"Failed",G56&lt;&gt;"Blocked",G56&lt;&gt;"Skipped",G56&lt;&gt;"PASSED",G56&lt;&gt;"FAILED",G56&lt;&gt;"BLOCKED",G56&lt;&gt;"SKIPPED")),"Статус неверен",IF(AND(COUNTIF(E56:G56,"Failed")+COUNTIF(E56:G56,"FAILED")&gt;0,OR(H56="",COUNTIFS('Баг-репорты'!$A$5:$A$24,TRIM(H56),'Баг-репорты'!$I$5:$I$24,"Готово")=0)),"Связь статуса и ID баг-репорта неверна",IF(AND(COUNTIF(E56:G56,"Blocked")+COUNTIF(E56:G56,"BLOCKED")&gt;0,H56=""),"Укажите причину Blocked",IF(AND(COUNTIF(E56:G56,"Failed")+COUNTIF(E56:G56,"FAILED")=0,COUNTIF(E56:G56,"Blocked")+COUNTIF(E56:G56,"BLOCKED")=0,H56&lt;&gt;""),"Связь статуса и ID баг-репорта неверна","Готово")))))))</x:f>
        <x:v>Готово</x:v>
      </x:c>
    </x:row>
    <x:row r="57" ht="49.5" customHeight="1">
      <x:c r="A57" s="12">
        <x:v>42.0</x:v>
      </x:c>
      <x:c r="B57" s="11">
        <x:v>18.0</x:v>
      </x:c>
      <x:c r="C57" s="12" t="s">
        <x:v>182</x:v>
      </x:c>
      <x:c r="D57" s="12" t="s">
        <x:v>241</x:v>
      </x:c>
      <x:c r="E57" s="11" t="s">
        <x:v>187</x:v>
      </x:c>
      <x:c r="F57" s="11" t="s">
        <x:v>187</x:v>
      </x:c>
      <x:c r="G57" s="11" t="s">
        <x:v>185</x:v>
      </x:c>
      <x:c r="H57" s="16" t="s">
        <x:v>239</x:v>
      </x:c>
      <x:c r="I57" s="11"/>
      <x:c r="J57" s="12" t="str">
        <x:f>IF(AND(A57="",C57=""),"",IF(AND(C57="Критический путь",B57=""),"Нет порядка выполнения для критического пути",IF(AND(B57&lt;&gt;"",COUNTBLANK(E57:G57)=3),"Заполните статус",IF(OR(AND(E57&lt;&gt;"",E57&lt;&gt;"Passed",E57&lt;&gt;"Failed",E57&lt;&gt;"Blocked",E57&lt;&gt;"Skipped",E57&lt;&gt;"PASSED",E57&lt;&gt;"FAILED",E57&lt;&gt;"BLOCKED",E57&lt;&gt;"SKIPPED"),AND(F57&lt;&gt;"",F57&lt;&gt;"Passed",F57&lt;&gt;"Failed",F57&lt;&gt;"Blocked",F57&lt;&gt;"Skipped",F57&lt;&gt;"PASSED",F57&lt;&gt;"FAILED",F57&lt;&gt;"BLOCKED",F57&lt;&gt;"SKIPPED"),AND(G57&lt;&gt;"",G57&lt;&gt;"Passed",G57&lt;&gt;"Failed",G57&lt;&gt;"Blocked",G57&lt;&gt;"Skipped",G57&lt;&gt;"PASSED",G57&lt;&gt;"FAILED",G57&lt;&gt;"BLOCKED",G57&lt;&gt;"SKIPPED")),"Статус неверен",IF(AND(COUNTIF(E57:G57,"Failed")+COUNTIF(E57:G57,"FAILED")&gt;0,OR(H57="",COUNTIFS('Баг-репорты'!$A$5:$A$24,TRIM(H57),'Баг-репорты'!$I$5:$I$24,"Готово")=0)),"Связь статуса и ID баг-репорта неверна",IF(AND(COUNTIF(E57:G57,"Blocked")+COUNTIF(E57:G57,"BLOCKED")&gt;0,H57=""),"Укажите причину Blocked",IF(AND(COUNTIF(E57:G57,"Failed")+COUNTIF(E57:G57,"FAILED")=0,COUNTIF(E57:G57,"Blocked")+COUNTIF(E57:G57,"BLOCKED")=0,H57&lt;&gt;""),"Связь статуса и ID баг-репорта неверна","Готово")))))))</x:f>
        <x:v>Готово</x:v>
      </x:c>
    </x:row>
    <x:row r="58" ht="57.75" customHeight="1">
      <x:c r="A58" s="12">
        <x:v>43.0</x:v>
      </x:c>
      <x:c r="B58" s="11">
        <x:v>19.0</x:v>
      </x:c>
      <x:c r="C58" s="12" t="s">
        <x:v>182</x:v>
      </x:c>
      <x:c r="D58" s="12" t="s">
        <x:v>242</x:v>
      </x:c>
      <x:c r="E58" s="11" t="s">
        <x:v>187</x:v>
      </x:c>
      <x:c r="F58" s="11" t="s">
        <x:v>187</x:v>
      </x:c>
      <x:c r="G58" s="11" t="s">
        <x:v>185</x:v>
      </x:c>
      <x:c r="H58" s="16" t="s">
        <x:v>243</x:v>
      </x:c>
      <x:c r="I58" s="11"/>
      <x:c r="J58" s="12" t="str">
        <x:f>IF(AND(A58="",C58=""),"",IF(AND(C58="Критический путь",B58=""),"Нет порядка выполнения для критического пути",IF(AND(B58&lt;&gt;"",COUNTBLANK(E58:G58)=3),"Заполните статус",IF(OR(AND(E58&lt;&gt;"",E58&lt;&gt;"Passed",E58&lt;&gt;"Failed",E58&lt;&gt;"Blocked",E58&lt;&gt;"Skipped",E58&lt;&gt;"PASSED",E58&lt;&gt;"FAILED",E58&lt;&gt;"BLOCKED",E58&lt;&gt;"SKIPPED"),AND(F58&lt;&gt;"",F58&lt;&gt;"Passed",F58&lt;&gt;"Failed",F58&lt;&gt;"Blocked",F58&lt;&gt;"Skipped",F58&lt;&gt;"PASSED",F58&lt;&gt;"FAILED",F58&lt;&gt;"BLOCKED",F58&lt;&gt;"SKIPPED"),AND(G58&lt;&gt;"",G58&lt;&gt;"Passed",G58&lt;&gt;"Failed",G58&lt;&gt;"Blocked",G58&lt;&gt;"Skipped",G58&lt;&gt;"PASSED",G58&lt;&gt;"FAILED",G58&lt;&gt;"BLOCKED",G58&lt;&gt;"SKIPPED")),"Статус неверен",IF(AND(COUNTIF(E58:G58,"Failed")+COUNTIF(E58:G58,"FAILED")&gt;0,OR(H58="",COUNTIFS('Баг-репорты'!$A$5:$A$24,TRIM(H58),'Баг-репорты'!$I$5:$I$24,"Готово")=0)),"Связь статуса и ID баг-репорта неверна",IF(AND(COUNTIF(E58:G58,"Blocked")+COUNTIF(E58:G58,"BLOCKED")&gt;0,H58=""),"Укажите причину Blocked",IF(AND(COUNTIF(E58:G58,"Failed")+COUNTIF(E58:G58,"FAILED")=0,COUNTIF(E58:G58,"Blocked")+COUNTIF(E58:G58,"BLOCKED")=0,H58&lt;&gt;""),"Связь статуса и ID баг-репорта неверна","Готово")))))))</x:f>
        <x:v>Готово</x:v>
      </x:c>
    </x:row>
    <x:row r="59" ht="58.5" customHeight="1">
      <x:c r="A59" s="12">
        <x:v>44.0</x:v>
      </x:c>
      <x:c r="B59" s="11">
        <x:v>50.0</x:v>
      </x:c>
      <x:c r="C59" s="12" t="s">
        <x:v>189</x:v>
      </x:c>
      <x:c r="D59" s="12" t="s">
        <x:v>244</x:v>
      </x:c>
      <x:c r="E59" s="11" t="s">
        <x:v>187</x:v>
      </x:c>
      <x:c r="F59" s="11" t="s">
        <x:v>187</x:v>
      </x:c>
      <x:c r="G59" s="11" t="s">
        <x:v>185</x:v>
      </x:c>
      <x:c r="H59" s="16" t="s">
        <x:v>245</x:v>
      </x:c>
      <x:c r="I59" s="11"/>
      <x:c r="J59" s="12" t="str">
        <x:f>IF(AND(A59="",C59=""),"",IF(AND(C59="Критический путь",B59=""),"Нет порядка выполнения для критического пути",IF(AND(B59&lt;&gt;"",COUNTBLANK(E59:G59)=3),"Заполните статус",IF(OR(AND(E59&lt;&gt;"",E59&lt;&gt;"Passed",E59&lt;&gt;"Failed",E59&lt;&gt;"Blocked",E59&lt;&gt;"Skipped",E59&lt;&gt;"PASSED",E59&lt;&gt;"FAILED",E59&lt;&gt;"BLOCKED",E59&lt;&gt;"SKIPPED"),AND(F59&lt;&gt;"",F59&lt;&gt;"Passed",F59&lt;&gt;"Failed",F59&lt;&gt;"Blocked",F59&lt;&gt;"Skipped",F59&lt;&gt;"PASSED",F59&lt;&gt;"FAILED",F59&lt;&gt;"BLOCKED",F59&lt;&gt;"SKIPPED"),AND(G59&lt;&gt;"",G59&lt;&gt;"Passed",G59&lt;&gt;"Failed",G59&lt;&gt;"Blocked",G59&lt;&gt;"Skipped",G59&lt;&gt;"PASSED",G59&lt;&gt;"FAILED",G59&lt;&gt;"BLOCKED",G59&lt;&gt;"SKIPPED")),"Статус неверен",IF(AND(COUNTIF(E59:G59,"Failed")+COUNTIF(E59:G59,"FAILED")&gt;0,OR(H59="",COUNTIFS('Баг-репорты'!$A$5:$A$24,TRIM(H59),'Баг-репорты'!$I$5:$I$24,"Готово")=0)),"Связь статуса и ID баг-репорта неверна",IF(AND(COUNTIF(E59:G59,"Blocked")+COUNTIF(E59:G59,"BLOCKED")&gt;0,H59=""),"Укажите причину Blocked",IF(AND(COUNTIF(E59:G59,"Failed")+COUNTIF(E59:G59,"FAILED")=0,COUNTIF(E59:G59,"Blocked")+COUNTIF(E59:G59,"BLOCKED")=0,H59&lt;&gt;""),"Связь статуса и ID баг-репорта неверна","Готово")))))))</x:f>
        <x:v>Готово</x:v>
      </x:c>
    </x:row>
    <x:row r="60" ht="66.75" customHeight="1">
      <x:c r="A60" s="12">
        <x:v>45.0</x:v>
      </x:c>
      <x:c r="B60" s="11"/>
      <x:c r="C60" s="12" t="s">
        <x:v>189</x:v>
      </x:c>
      <x:c r="D60" s="12" t="s">
        <x:v>246</x:v>
      </x:c>
      <x:c r="E60" s="11" t="s">
        <x:v>185</x:v>
      </x:c>
      <x:c r="F60" s="11" t="s">
        <x:v>185</x:v>
      </x:c>
      <x:c r="G60" s="11" t="s">
        <x:v>185</x:v>
      </x:c>
      <x:c r="H60" s="11"/>
      <x:c r="I60" s="11"/>
      <x:c r="J60" s="12" t="str">
        <x:f>IF(AND(A60="",C60=""),"",IF(AND(C60="Критический путь",B60=""),"Нет порядка выполнения для критического пути",IF(AND(B60&lt;&gt;"",COUNTBLANK(E60:G60)=3),"Заполните статус",IF(OR(AND(E60&lt;&gt;"",E60&lt;&gt;"Passed",E60&lt;&gt;"Failed",E60&lt;&gt;"Blocked",E60&lt;&gt;"Skipped",E60&lt;&gt;"PASSED",E60&lt;&gt;"FAILED",E60&lt;&gt;"BLOCKED",E60&lt;&gt;"SKIPPED"),AND(F60&lt;&gt;"",F60&lt;&gt;"Passed",F60&lt;&gt;"Failed",F60&lt;&gt;"Blocked",F60&lt;&gt;"Skipped",F60&lt;&gt;"PASSED",F60&lt;&gt;"FAILED",F60&lt;&gt;"BLOCKED",F60&lt;&gt;"SKIPPED"),AND(G60&lt;&gt;"",G60&lt;&gt;"Passed",G60&lt;&gt;"Failed",G60&lt;&gt;"Blocked",G60&lt;&gt;"Skipped",G60&lt;&gt;"PASSED",G60&lt;&gt;"FAILED",G60&lt;&gt;"BLOCKED",G60&lt;&gt;"SKIPPED")),"Статус неверен",IF(AND(COUNTIF(E60:G60,"Failed")+COUNTIF(E60:G60,"FAILED")&gt;0,OR(H60="",COUNTIFS('Баг-репорты'!$A$5:$A$24,TRIM(H60),'Баг-репорты'!$I$5:$I$24,"Готово")=0)),"Связь статуса и ID баг-репорта неверна",IF(AND(COUNTIF(E60:G60,"Blocked")+COUNTIF(E60:G60,"BLOCKED")&gt;0,H60=""),"Укажите причину Blocked",IF(AND(COUNTIF(E60:G60,"Failed")+COUNTIF(E60:G60,"FAILED")=0,COUNTIF(E60:G60,"Blocked")+COUNTIF(E60:G60,"BLOCKED")=0,H60&lt;&gt;""),"Связь статуса и ID баг-репорта неверна","Готово")))))))</x:f>
        <x:v>Готово</x:v>
      </x:c>
    </x:row>
    <x:row r="61" ht="15.75" customHeight="1">
      <x:c r="A61" s="12"/>
      <x:c r="B61" s="11"/>
      <x:c r="C61" s="12"/>
      <x:c r="D61" s="12"/>
      <x:c r="E61" s="11"/>
      <x:c r="F61" s="11"/>
      <x:c r="G61" s="11"/>
      <x:c r="H61" s="11"/>
      <x:c r="I61" s="11"/>
      <x:c r="J61" s="12" t="str">
        <x:f>IF(AND(A61="",C61=""),"",IF(AND(C61="Критический путь",B61=""),"Нет порядка выполнения для критического пути",IF(AND(B61&lt;&gt;"",COUNTBLANK(E61:G61)=3),"Заполните статус",IF(OR(AND(E61&lt;&gt;"",E61&lt;&gt;"Passed",E61&lt;&gt;"Failed",E61&lt;&gt;"Blocked",E61&lt;&gt;"Skipped",E61&lt;&gt;"PASSED",E61&lt;&gt;"FAILED",E61&lt;&gt;"BLOCKED",E61&lt;&gt;"SKIPPED"),AND(F61&lt;&gt;"",F61&lt;&gt;"Passed",F61&lt;&gt;"Failed",F61&lt;&gt;"Blocked",F61&lt;&gt;"Skipped",F61&lt;&gt;"PASSED",F61&lt;&gt;"FAILED",F61&lt;&gt;"BLOCKED",F61&lt;&gt;"SKIPPED"),AND(G61&lt;&gt;"",G61&lt;&gt;"Passed",G61&lt;&gt;"Failed",G61&lt;&gt;"Blocked",G61&lt;&gt;"Skipped",G61&lt;&gt;"PASSED",G61&lt;&gt;"FAILED",G61&lt;&gt;"BLOCKED",G61&lt;&gt;"SKIPPED")),"Статус неверен",IF(AND(COUNTIF(E61:G61,"Failed")+COUNTIF(E61:G61,"FAILED")&gt;0,OR(H61="",COUNTIFS('Баг-репорты'!$A$5:$A$24,TRIM(H61),'Баг-репорты'!$I$5:$I$24,"Готово")=0)),"Связь статуса и ID баг-репорта неверна",IF(AND(COUNTIF(E61:G61,"Blocked")+COUNTIF(E61:G61,"BLOCKED")&gt;0,H61=""),"Укажите причину Blocked",IF(AND(COUNTIF(E61:G61,"Failed")+COUNTIF(E61:G61,"FAILED")=0,COUNTIF(E61:G61,"Blocked")+COUNTIF(E61:G61,"BLOCKED")=0,H61&lt;&gt;""),"Связь статуса и ID баг-репорта неверна","Готово")))))))</x:f>
      </x:c>
    </x:row>
    <x:row r="62" ht="15.75" customHeight="1">
      <x:c r="A62" s="12"/>
      <x:c r="B62" s="11"/>
      <x:c r="C62" s="12"/>
      <x:c r="D62" s="12"/>
      <x:c r="E62" s="11"/>
      <x:c r="F62" s="11"/>
      <x:c r="G62" s="11"/>
      <x:c r="H62" s="11"/>
      <x:c r="I62" s="11"/>
      <x:c r="J62" s="12" t="str">
        <x:f>IF(AND(A62="",C62=""),"",IF(AND(C62="Критический путь",B62=""),"Нет порядка выполнения для критического пути",IF(AND(B62&lt;&gt;"",COUNTBLANK(E62:G62)=3),"Заполните статус",IF(OR(AND(E62&lt;&gt;"",E62&lt;&gt;"Passed",E62&lt;&gt;"Failed",E62&lt;&gt;"Blocked",E62&lt;&gt;"Skipped",E62&lt;&gt;"PASSED",E62&lt;&gt;"FAILED",E62&lt;&gt;"BLOCKED",E62&lt;&gt;"SKIPPED"),AND(F62&lt;&gt;"",F62&lt;&gt;"Passed",F62&lt;&gt;"Failed",F62&lt;&gt;"Blocked",F62&lt;&gt;"Skipped",F62&lt;&gt;"PASSED",F62&lt;&gt;"FAILED",F62&lt;&gt;"BLOCKED",F62&lt;&gt;"SKIPPED"),AND(G62&lt;&gt;"",G62&lt;&gt;"Passed",G62&lt;&gt;"Failed",G62&lt;&gt;"Blocked",G62&lt;&gt;"Skipped",G62&lt;&gt;"PASSED",G62&lt;&gt;"FAILED",G62&lt;&gt;"BLOCKED",G62&lt;&gt;"SKIPPED")),"Статус неверен",IF(AND(COUNTIF(E62:G62,"Failed")+COUNTIF(E62:G62,"FAILED")&gt;0,OR(H62="",COUNTIFS('Баг-репорты'!$A$5:$A$24,TRIM(H62),'Баг-репорты'!$I$5:$I$24,"Готово")=0)),"Связь статуса и ID баг-репорта неверна",IF(AND(COUNTIF(E62:G62,"Blocked")+COUNTIF(E62:G62,"BLOCKED")&gt;0,H62=""),"Укажите причину Blocked",IF(AND(COUNTIF(E62:G62,"Failed")+COUNTIF(E62:G62,"FAILED")=0,COUNTIF(E62:G62,"Blocked")+COUNTIF(E62:G62,"BLOCKED")=0,H62&lt;&gt;""),"Связь статуса и ID баг-репорта неверна","Готово")))))))</x:f>
      </x:c>
    </x:row>
    <x:row r="63" ht="15.75" customHeight="1">
      <x:c r="A63" s="12" t="s">
        <x:v>173</x:v>
      </x:c>
      <x:c r="B63" s="11"/>
      <x:c r="C63" s="12" t="s">
        <x:v>175</x:v>
      </x:c>
      <x:c r="D63" s="12" t="s">
        <x:v>176</x:v>
      </x:c>
      <x:c r="E63" s="11" t="str">
        <x:v>Статус Chrome 1920×1080</x:v>
      </x:c>
      <x:c r="F63" s="11" t="str">
        <x:v>Статус Firefox 1280×720</x:v>
      </x:c>
      <x:c r="G63" s="11" t="str">
        <x:v>Статус Chrome 768×1024</x:v>
      </x:c>
      <x:c r="H63" s="11"/>
      <x:c r="I63" s="11"/>
      <x:c r="J63" s="12" t="str">
        <x:f>IF(AND(A63="",C63=""),"",IF(AND(C63="Критический путь",B63=""),"Нет порядка выполнения для критического пути",IF(AND(B63&lt;&gt;"",COUNTBLANK(E63:G63)=3),"Заполните статус",IF(OR(AND(E63&lt;&gt;"",E63&lt;&gt;"Passed",E63&lt;&gt;"Failed",E63&lt;&gt;"Blocked",E63&lt;&gt;"Skipped",E63&lt;&gt;"PASSED",E63&lt;&gt;"FAILED",E63&lt;&gt;"BLOCKED",E63&lt;&gt;"SKIPPED"),AND(F63&lt;&gt;"",F63&lt;&gt;"Passed",F63&lt;&gt;"Failed",F63&lt;&gt;"Blocked",F63&lt;&gt;"Skipped",F63&lt;&gt;"PASSED",F63&lt;&gt;"FAILED",F63&lt;&gt;"BLOCKED",F63&lt;&gt;"SKIPPED"),AND(G63&lt;&gt;"",G63&lt;&gt;"Passed",G63&lt;&gt;"Failed",G63&lt;&gt;"Blocked",G63&lt;&gt;"Skipped",G63&lt;&gt;"PASSED",G63&lt;&gt;"FAILED",G63&lt;&gt;"BLOCKED",G63&lt;&gt;"SKIPPED")),"Статус неверен",IF(AND(COUNTIF(E63:G63,"Failed")+COUNTIF(E63:G63,"FAILED")&gt;0,OR(H63="",COUNTIFS('Баг-репорты'!$A$5:$A$24,TRIM(H63),'Баг-репорты'!$I$5:$I$24,"Готово")=0)),"Связь статуса и ID баг-репорта неверна",IF(AND(COUNTIF(E63:G63,"Blocked")+COUNTIF(E63:G63,"BLOCKED")&gt;0,H63=""),"Укажите причину Blocked",IF(AND(COUNTIF(E63:G63,"Failed")+COUNTIF(E63:G63,"FAILED")=0,COUNTIF(E63:G63,"Blocked")+COUNTIF(E63:G63,"BLOCKED")=0,H63&lt;&gt;""),"Связь статуса и ID баг-репорта неверна","Готово")))))))</x:f>
        <x:v>Статус неверен</x:v>
      </x:c>
    </x:row>
    <x:row r="64" ht="21" customHeight="1">
      <x:c r="A64" s="9" t="s">
        <x:v>181</x:v>
      </x:c>
      <x:c r="B64" s="3"/>
      <x:c r="C64" s="3"/>
      <x:c r="D64" s="3"/>
      <x:c r="E64" s="3"/>
      <x:c r="F64" s="3"/>
      <x:c r="G64" s="3"/>
      <x:c r="H64" s="3"/>
      <x:c r="I64" s="3"/>
      <x:c r="J64" s="4"/>
    </x:row>
    <x:row r="65" ht="96" customHeight="1">
      <x:c r="A65" s="12">
        <x:v>46.0</x:v>
      </x:c>
      <x:c r="B65" s="11">
        <x:v>21.0</x:v>
      </x:c>
      <x:c r="C65" s="12" t="s">
        <x:v>192</x:v>
      </x:c>
      <x:c r="D65" s="12" t="s">
        <x:v>247</x:v>
      </x:c>
      <x:c r="E65" s="11" t="s">
        <x:v>184</x:v>
      </x:c>
      <x:c r="F65" s="11" t="s">
        <x:v>184</x:v>
      </x:c>
      <x:c r="G65" s="11" t="s">
        <x:v>184</x:v>
      </x:c>
      <x:c r="H65" s="11"/>
      <x:c r="I65" s="11"/>
      <x:c r="J65" s="12" t="str">
        <x:f>IF(AND(A65="",C65=""),"",IF(AND(C65="Критический путь",B65=""),"Нет порядка выполнения для критического пути",IF(AND(B65&lt;&gt;"",COUNTBLANK(E65:G65)=3),"Заполните статус",IF(OR(AND(E65&lt;&gt;"",E65&lt;&gt;"Passed",E65&lt;&gt;"Failed",E65&lt;&gt;"Blocked",E65&lt;&gt;"Skipped",E65&lt;&gt;"PASSED",E65&lt;&gt;"FAILED",E65&lt;&gt;"BLOCKED",E65&lt;&gt;"SKIPPED"),AND(F65&lt;&gt;"",F65&lt;&gt;"Passed",F65&lt;&gt;"Failed",F65&lt;&gt;"Blocked",F65&lt;&gt;"Skipped",F65&lt;&gt;"PASSED",F65&lt;&gt;"FAILED",F65&lt;&gt;"BLOCKED",F65&lt;&gt;"SKIPPED"),AND(G65&lt;&gt;"",G65&lt;&gt;"Passed",G65&lt;&gt;"Failed",G65&lt;&gt;"Blocked",G65&lt;&gt;"Skipped",G65&lt;&gt;"PASSED",G65&lt;&gt;"FAILED",G65&lt;&gt;"BLOCKED",G65&lt;&gt;"SKIPPED")),"Статус неверен",IF(AND(COUNTIF(E65:G65,"Failed")+COUNTIF(E65:G65,"FAILED")&gt;0,OR(H65="",COUNTIFS('Баг-репорты'!$A$5:$A$24,TRIM(H65),'Баг-репорты'!$I$5:$I$24,"Готово")=0)),"Связь статуса и ID баг-репорта неверна",IF(AND(COUNTIF(E65:G65,"Blocked")+COUNTIF(E65:G65,"BLOCKED")&gt;0,H65=""),"Укажите причину Blocked",IF(AND(COUNTIF(E65:G65,"Failed")+COUNTIF(E65:G65,"FAILED")=0,COUNTIF(E65:G65,"Blocked")+COUNTIF(E65:G65,"BLOCKED")=0,H65&lt;&gt;""),"Связь статуса и ID баг-репорта неверна","Готово")))))))</x:f>
        <x:v>Готово</x:v>
      </x:c>
    </x:row>
    <x:row r="66" ht="72" customHeight="1">
      <x:c r="A66" s="12"/>
      <x:c r="B66" s="11"/>
      <x:c r="C66" s="12"/>
      <x:c r="D66" s="12" t="s">
        <x:v>248</x:v>
      </x:c>
      <x:c r="E66" s="11" t="s">
        <x:v>184</x:v>
      </x:c>
      <x:c r="F66" s="11" t="s">
        <x:v>184</x:v>
      </x:c>
      <x:c r="G66" s="11" t="s">
        <x:v>184</x:v>
      </x:c>
      <x:c r="H66" s="11"/>
      <x:c r="I66" s="11"/>
      <x:c r="J66" s="12" t="str">
        <x:f>IF(AND(A66="",C66=""),"",IF(AND(C66="Критический путь",B66=""),"Нет порядка выполнения для критического пути",IF(AND(B66&lt;&gt;"",COUNTBLANK(E66:G66)=3),"Заполните статус",IF(OR(AND(E66&lt;&gt;"",E66&lt;&gt;"Passed",E66&lt;&gt;"Failed",E66&lt;&gt;"Blocked",E66&lt;&gt;"Skipped",E66&lt;&gt;"PASSED",E66&lt;&gt;"FAILED",E66&lt;&gt;"BLOCKED",E66&lt;&gt;"SKIPPED"),AND(F66&lt;&gt;"",F66&lt;&gt;"Passed",F66&lt;&gt;"Failed",F66&lt;&gt;"Blocked",F66&lt;&gt;"Skipped",F66&lt;&gt;"PASSED",F66&lt;&gt;"FAILED",F66&lt;&gt;"BLOCKED",F66&lt;&gt;"SKIPPED"),AND(G66&lt;&gt;"",G66&lt;&gt;"Passed",G66&lt;&gt;"Failed",G66&lt;&gt;"Blocked",G66&lt;&gt;"Skipped",G66&lt;&gt;"PASSED",G66&lt;&gt;"FAILED",G66&lt;&gt;"BLOCKED",G66&lt;&gt;"SKIPPED")),"Статус неверен",IF(AND(COUNTIF(E66:G66,"Failed")+COUNTIF(E66:G66,"FAILED")&gt;0,OR(H66="",COUNTIFS('Баг-репорты'!$A$5:$A$24,TRIM(H66),'Баг-репорты'!$I$5:$I$24,"Готово")=0)),"Связь статуса и ID баг-репорта неверна",IF(AND(COUNTIF(E66:G66,"Blocked")+COUNTIF(E66:G66,"BLOCKED")&gt;0,H66=""),"Укажите причину Blocked",IF(AND(COUNTIF(E66:G66,"Failed")+COUNTIF(E66:G66,"FAILED")=0,COUNTIF(E66:G66,"Blocked")+COUNTIF(E66:G66,"BLOCKED")=0,H66&lt;&gt;""),"Связь статуса и ID баг-репорта неверна","Готово")))))))</x:f>
      </x:c>
    </x:row>
    <x:row r="67" ht="95.25" customHeight="1">
      <x:c r="A67" s="12"/>
      <x:c r="B67" s="11"/>
      <x:c r="C67" s="12"/>
      <x:c r="D67" s="12" t="s">
        <x:v>249</x:v>
      </x:c>
      <x:c r="E67" s="11" t="s">
        <x:v>184</x:v>
      </x:c>
      <x:c r="F67" s="11" t="s">
        <x:v>184</x:v>
      </x:c>
      <x:c r="G67" s="11" t="s">
        <x:v>184</x:v>
      </x:c>
      <x:c r="H67" s="11"/>
      <x:c r="I67" s="11"/>
      <x:c r="J67" s="12" t="str">
        <x:f>IF(AND(A67="",C67=""),"",IF(AND(C67="Критический путь",B67=""),"Нет порядка выполнения для критического пути",IF(AND(B67&lt;&gt;"",COUNTBLANK(E67:G67)=3),"Заполните статус",IF(OR(AND(E67&lt;&gt;"",E67&lt;&gt;"Passed",E67&lt;&gt;"Failed",E67&lt;&gt;"Blocked",E67&lt;&gt;"Skipped",E67&lt;&gt;"PASSED",E67&lt;&gt;"FAILED",E67&lt;&gt;"BLOCKED",E67&lt;&gt;"SKIPPED"),AND(F67&lt;&gt;"",F67&lt;&gt;"Passed",F67&lt;&gt;"Failed",F67&lt;&gt;"Blocked",F67&lt;&gt;"Skipped",F67&lt;&gt;"PASSED",F67&lt;&gt;"FAILED",F67&lt;&gt;"BLOCKED",F67&lt;&gt;"SKIPPED"),AND(G67&lt;&gt;"",G67&lt;&gt;"Passed",G67&lt;&gt;"Failed",G67&lt;&gt;"Blocked",G67&lt;&gt;"Skipped",G67&lt;&gt;"PASSED",G67&lt;&gt;"FAILED",G67&lt;&gt;"BLOCKED",G67&lt;&gt;"SKIPPED")),"Статус неверен",IF(AND(COUNTIF(E67:G67,"Failed")+COUNTIF(E67:G67,"FAILED")&gt;0,OR(H67="",COUNTIFS('Баг-репорты'!$A$5:$A$24,TRIM(H67),'Баг-репорты'!$I$5:$I$24,"Готово")=0)),"Связь статуса и ID баг-репорта неверна",IF(AND(COUNTIF(E67:G67,"Blocked")+COUNTIF(E67:G67,"BLOCKED")&gt;0,H67=""),"Укажите причину Blocked",IF(AND(COUNTIF(E67:G67,"Failed")+COUNTIF(E67:G67,"FAILED")=0,COUNTIF(E67:G67,"Blocked")+COUNTIF(E67:G67,"BLOCKED")=0,H67&lt;&gt;""),"Связь статуса и ID баг-репорта неверна","Готово")))))))</x:f>
      </x:c>
    </x:row>
    <x:row r="68" ht="21" customHeight="1">
      <x:c r="A68" s="9" t="s">
        <x:v>204</x:v>
      </x:c>
      <x:c r="B68" s="3"/>
      <x:c r="C68" s="3"/>
      <x:c r="D68" s="3"/>
      <x:c r="E68" s="3"/>
      <x:c r="F68" s="3"/>
      <x:c r="G68" s="3"/>
      <x:c r="H68" s="3"/>
      <x:c r="I68" s="3"/>
      <x:c r="J68" s="4"/>
    </x:row>
    <x:row r="69" ht="83.25" customHeight="1">
      <x:c r="A69" s="12">
        <x:v>47.0</x:v>
      </x:c>
      <x:c r="B69" s="11">
        <x:v>22.0</x:v>
      </x:c>
      <x:c r="C69" s="12" t="s">
        <x:v>192</x:v>
      </x:c>
      <x:c r="D69" s="12" t="s">
        <x:v>250</x:v>
      </x:c>
      <x:c r="E69" s="11" t="s">
        <x:v>184</x:v>
      </x:c>
      <x:c r="F69" s="11"/>
      <x:c r="G69" s="11"/>
      <x:c r="H69" s="11"/>
      <x:c r="I69" s="11"/>
      <x:c r="J69" s="12" t="str">
        <x:f>IF(AND(A69="",C69=""),"",IF(AND(C69="Критический путь",B69=""),"Нет порядка выполнения для критического пути",IF(AND(B69&lt;&gt;"",COUNTBLANK(E69:G69)=3),"Заполните статус",IF(OR(AND(E69&lt;&gt;"",E69&lt;&gt;"Passed",E69&lt;&gt;"Failed",E69&lt;&gt;"Blocked",E69&lt;&gt;"Skipped",E69&lt;&gt;"PASSED",E69&lt;&gt;"FAILED",E69&lt;&gt;"BLOCKED",E69&lt;&gt;"SKIPPED"),AND(F69&lt;&gt;"",F69&lt;&gt;"Passed",F69&lt;&gt;"Failed",F69&lt;&gt;"Blocked",F69&lt;&gt;"Skipped",F69&lt;&gt;"PASSED",F69&lt;&gt;"FAILED",F69&lt;&gt;"BLOCKED",F69&lt;&gt;"SKIPPED"),AND(G69&lt;&gt;"",G69&lt;&gt;"Passed",G69&lt;&gt;"Failed",G69&lt;&gt;"Blocked",G69&lt;&gt;"Skipped",G69&lt;&gt;"PASSED",G69&lt;&gt;"FAILED",G69&lt;&gt;"BLOCKED",G69&lt;&gt;"SKIPPED")),"Статус неверен",IF(AND(COUNTIF(E69:G69,"Failed")+COUNTIF(E69:G69,"FAILED")&gt;0,OR(H69="",COUNTIFS('Баг-репорты'!$A$5:$A$24,TRIM(H69),'Баг-репорты'!$I$5:$I$24,"Готово")=0)),"Связь статуса и ID баг-репорта неверна",IF(AND(COUNTIF(E69:G69,"Blocked")+COUNTIF(E69:G69,"BLOCKED")&gt;0,H69=""),"Укажите причину Blocked",IF(AND(COUNTIF(E69:G69,"Failed")+COUNTIF(E69:G69,"FAILED")=0,COUNTIF(E69:G69,"Blocked")+COUNTIF(E69:G69,"BLOCKED")=0,H69&lt;&gt;""),"Связь статуса и ID баг-репорта неверна","Готово")))))))</x:f>
        <x:v>Готово</x:v>
      </x:c>
    </x:row>
    <x:row r="70" ht="15.75" customHeight="1">
      <x:c r="A70" s="12"/>
      <x:c r="B70" s="11"/>
      <x:c r="C70" s="12"/>
      <x:c r="D70" s="12" t="s">
        <x:v>251</x:v>
      </x:c>
      <x:c r="E70" s="11" t="s">
        <x:v>184</x:v>
      </x:c>
      <x:c r="F70" s="11"/>
      <x:c r="G70" s="11"/>
      <x:c r="H70" s="11"/>
      <x:c r="I70" s="11"/>
      <x:c r="J70" s="12" t="str">
        <x:f>IF(AND(A70="",C70=""),"",IF(AND(C70="Критический путь",B70=""),"Нет порядка выполнения для критического пути",IF(AND(B70&lt;&gt;"",COUNTBLANK(E70:G70)=3),"Заполните статус",IF(OR(AND(E70&lt;&gt;"",E70&lt;&gt;"Passed",E70&lt;&gt;"Failed",E70&lt;&gt;"Blocked",E70&lt;&gt;"Skipped",E70&lt;&gt;"PASSED",E70&lt;&gt;"FAILED",E70&lt;&gt;"BLOCKED",E70&lt;&gt;"SKIPPED"),AND(F70&lt;&gt;"",F70&lt;&gt;"Passed",F70&lt;&gt;"Failed",F70&lt;&gt;"Blocked",F70&lt;&gt;"Skipped",F70&lt;&gt;"PASSED",F70&lt;&gt;"FAILED",F70&lt;&gt;"BLOCKED",F70&lt;&gt;"SKIPPED"),AND(G70&lt;&gt;"",G70&lt;&gt;"Passed",G70&lt;&gt;"Failed",G70&lt;&gt;"Blocked",G70&lt;&gt;"Skipped",G70&lt;&gt;"PASSED",G70&lt;&gt;"FAILED",G70&lt;&gt;"BLOCKED",G70&lt;&gt;"SKIPPED")),"Статус неверен",IF(AND(COUNTIF(E70:G70,"Failed")+COUNTIF(E70:G70,"FAILED")&gt;0,OR(H70="",COUNTIFS('Баг-репорты'!$A$5:$A$24,TRIM(H70),'Баг-репорты'!$I$5:$I$24,"Готово")=0)),"Связь статуса и ID баг-репорта неверна",IF(AND(COUNTIF(E70:G70,"Blocked")+COUNTIF(E70:G70,"BLOCKED")&gt;0,H70=""),"Укажите причину Blocked",IF(AND(COUNTIF(E70:G70,"Failed")+COUNTIF(E70:G70,"FAILED")=0,COUNTIF(E70:G70,"Blocked")+COUNTIF(E70:G70,"BLOCKED")=0,H70&lt;&gt;""),"Связь статуса и ID баг-репорта неверна","Готово")))))))</x:f>
      </x:c>
    </x:row>
    <x:row r="71" ht="21" customHeight="1">
      <x:c r="A71" s="9" t="s">
        <x:v>209</x:v>
      </x:c>
      <x:c r="B71" s="3"/>
      <x:c r="C71" s="3"/>
      <x:c r="D71" s="3"/>
      <x:c r="E71" s="3"/>
      <x:c r="F71" s="3"/>
      <x:c r="G71" s="3"/>
      <x:c r="H71" s="3"/>
      <x:c r="I71" s="3"/>
      <x:c r="J71" s="4"/>
    </x:row>
    <x:row r="72" ht="81.75" customHeight="1">
      <x:c r="A72" s="12">
        <x:v>48.0</x:v>
      </x:c>
      <x:c r="B72" s="11">
        <x:v>23.0</x:v>
      </x:c>
      <x:c r="C72" s="12" t="s">
        <x:v>192</x:v>
      </x:c>
      <x:c r="D72" s="12" t="s">
        <x:v>252</x:v>
      </x:c>
      <x:c r="E72" s="11" t="s">
        <x:v>187</x:v>
      </x:c>
      <x:c r="F72" s="11"/>
      <x:c r="G72" s="11"/>
      <x:c r="H72" s="16" t="s">
        <x:v>167</x:v>
      </x:c>
      <x:c r="I72" s="11"/>
      <x:c r="J72" s="12" t="str">
        <x:f>IF(AND(A72="",C72=""),"",IF(AND(C72="Критический путь",B72=""),"Нет порядка выполнения для критического пути",IF(AND(B72&lt;&gt;"",COUNTBLANK(E72:G72)=3),"Заполните статус",IF(OR(AND(E72&lt;&gt;"",E72&lt;&gt;"Passed",E72&lt;&gt;"Failed",E72&lt;&gt;"Blocked",E72&lt;&gt;"Skipped",E72&lt;&gt;"PASSED",E72&lt;&gt;"FAILED",E72&lt;&gt;"BLOCKED",E72&lt;&gt;"SKIPPED"),AND(F72&lt;&gt;"",F72&lt;&gt;"Passed",F72&lt;&gt;"Failed",F72&lt;&gt;"Blocked",F72&lt;&gt;"Skipped",F72&lt;&gt;"PASSED",F72&lt;&gt;"FAILED",F72&lt;&gt;"BLOCKED",F72&lt;&gt;"SKIPPED"),AND(G72&lt;&gt;"",G72&lt;&gt;"Passed",G72&lt;&gt;"Failed",G72&lt;&gt;"Blocked",G72&lt;&gt;"Skipped",G72&lt;&gt;"PASSED",G72&lt;&gt;"FAILED",G72&lt;&gt;"BLOCKED",G72&lt;&gt;"SKIPPED")),"Статус неверен",IF(AND(COUNTIF(E72:G72,"Failed")+COUNTIF(E72:G72,"FAILED")&gt;0,OR(H72="",COUNTIFS('Баг-репорты'!$A$5:$A$24,TRIM(H72),'Баг-репорты'!$I$5:$I$24,"Готово")=0)),"Связь статуса и ID баг-репорта неверна",IF(AND(COUNTIF(E72:G72,"Blocked")+COUNTIF(E72:G72,"BLOCKED")&gt;0,H72=""),"Укажите причину Blocked",IF(AND(COUNTIF(E72:G72,"Failed")+COUNTIF(E72:G72,"FAILED")=0,COUNTIF(E72:G72,"Blocked")+COUNTIF(E72:G72,"BLOCKED")=0,H72&lt;&gt;""),"Связь статуса и ID баг-репорта неверна","Готово")))))))</x:f>
        <x:v>Готово</x:v>
      </x:c>
    </x:row>
    <x:row r="73" ht="85.5" customHeight="1">
      <x:c r="A73" s="12"/>
      <x:c r="B73" s="11"/>
      <x:c r="C73" s="12"/>
      <x:c r="D73" s="12" t="s">
        <x:v>251</x:v>
      </x:c>
      <x:c r="E73" s="11" t="s">
        <x:v>187</x:v>
      </x:c>
      <x:c r="F73" s="11"/>
      <x:c r="G73" s="11"/>
      <x:c r="H73" s="16" t="s">
        <x:v>167</x:v>
      </x:c>
      <x:c r="I73" s="11"/>
      <x:c r="J73" s="12" t="str">
        <x:f>IF(AND(A73="",C73=""),"",IF(AND(C73="Критический путь",B73=""),"Нет порядка выполнения для критического пути",IF(AND(B73&lt;&gt;"",COUNTBLANK(E73:G73)=3),"Заполните статус",IF(OR(AND(E73&lt;&gt;"",E73&lt;&gt;"Passed",E73&lt;&gt;"Failed",E73&lt;&gt;"Blocked",E73&lt;&gt;"Skipped",E73&lt;&gt;"PASSED",E73&lt;&gt;"FAILED",E73&lt;&gt;"BLOCKED",E73&lt;&gt;"SKIPPED"),AND(F73&lt;&gt;"",F73&lt;&gt;"Passed",F73&lt;&gt;"Failed",F73&lt;&gt;"Blocked",F73&lt;&gt;"Skipped",F73&lt;&gt;"PASSED",F73&lt;&gt;"FAILED",F73&lt;&gt;"BLOCKED",F73&lt;&gt;"SKIPPED"),AND(G73&lt;&gt;"",G73&lt;&gt;"Passed",G73&lt;&gt;"Failed",G73&lt;&gt;"Blocked",G73&lt;&gt;"Skipped",G73&lt;&gt;"PASSED",G73&lt;&gt;"FAILED",G73&lt;&gt;"BLOCKED",G73&lt;&gt;"SKIPPED")),"Статус неверен",IF(AND(COUNTIF(E73:G73,"Failed")+COUNTIF(E73:G73,"FAILED")&gt;0,OR(H73="",COUNTIFS('Баг-репорты'!$A$5:$A$24,TRIM(H73),'Баг-репорты'!$I$5:$I$24,"Готово")=0)),"Связь статуса и ID баг-репорта неверна",IF(AND(COUNTIF(E73:G73,"Blocked")+COUNTIF(E73:G73,"BLOCKED")&gt;0,H73=""),"Укажите причину Blocked",IF(AND(COUNTIF(E73:G73,"Failed")+COUNTIF(E73:G73,"FAILED")=0,COUNTIF(E73:G73,"Blocked")+COUNTIF(E73:G73,"BLOCKED")=0,H73&lt;&gt;""),"Связь статуса и ID баг-репорта неверна","Готово")))))))</x:f>
      </x:c>
    </x:row>
    <x:row r="74" ht="21" customHeight="1">
      <x:c r="A74" s="9" t="s">
        <x:v>217</x:v>
      </x:c>
      <x:c r="B74" s="3"/>
      <x:c r="C74" s="3"/>
      <x:c r="D74" s="3"/>
      <x:c r="E74" s="3"/>
      <x:c r="F74" s="3"/>
      <x:c r="G74" s="3"/>
      <x:c r="H74" s="3"/>
      <x:c r="I74" s="3"/>
      <x:c r="J74" s="4"/>
    </x:row>
    <x:row r="75" ht="67.5" customHeight="1">
      <x:c r="A75" s="12">
        <x:v>49.0</x:v>
      </x:c>
      <x:c r="B75" s="11">
        <x:v>24.0</x:v>
      </x:c>
      <x:c r="C75" s="12" t="s">
        <x:v>192</x:v>
      </x:c>
      <x:c r="D75" s="12" t="s">
        <x:v>253</x:v>
      </x:c>
      <x:c r="E75" s="11" t="s">
        <x:v>184</x:v>
      </x:c>
      <x:c r="F75" s="11"/>
      <x:c r="G75" s="11"/>
      <x:c r="H75" s="11"/>
      <x:c r="I75" s="11"/>
      <x:c r="J75" s="12" t="str">
        <x:f>IF(AND(A75="",C75=""),"",IF(AND(C75="Критический путь",B75=""),"Нет порядка выполнения для критического пути",IF(AND(B75&lt;&gt;"",COUNTBLANK(E75:G75)=3),"Заполните статус",IF(OR(AND(E75&lt;&gt;"",E75&lt;&gt;"Passed",E75&lt;&gt;"Failed",E75&lt;&gt;"Blocked",E75&lt;&gt;"Skipped",E75&lt;&gt;"PASSED",E75&lt;&gt;"FAILED",E75&lt;&gt;"BLOCKED",E75&lt;&gt;"SKIPPED"),AND(F75&lt;&gt;"",F75&lt;&gt;"Passed",F75&lt;&gt;"Failed",F75&lt;&gt;"Blocked",F75&lt;&gt;"Skipped",F75&lt;&gt;"PASSED",F75&lt;&gt;"FAILED",F75&lt;&gt;"BLOCKED",F75&lt;&gt;"SKIPPED"),AND(G75&lt;&gt;"",G75&lt;&gt;"Passed",G75&lt;&gt;"Failed",G75&lt;&gt;"Blocked",G75&lt;&gt;"Skipped",G75&lt;&gt;"PASSED",G75&lt;&gt;"FAILED",G75&lt;&gt;"BLOCKED",G75&lt;&gt;"SKIPPED")),"Статус неверен",IF(AND(COUNTIF(E75:G75,"Failed")+COUNTIF(E75:G75,"FAILED")&gt;0,OR(H75="",COUNTIFS('Баг-репорты'!$A$5:$A$24,TRIM(H75),'Баг-репорты'!$I$5:$I$24,"Готово")=0)),"Связь статуса и ID баг-репорта неверна",IF(AND(COUNTIF(E75:G75,"Blocked")+COUNTIF(E75:G75,"BLOCKED")&gt;0,H75=""),"Укажите причину Blocked",IF(AND(COUNTIF(E75:G75,"Failed")+COUNTIF(E75:G75,"FAILED")=0,COUNTIF(E75:G75,"Blocked")+COUNTIF(E75:G75,"BLOCKED")=0,H75&lt;&gt;""),"Связь статуса и ID баг-репорта неверна","Готово")))))))</x:f>
        <x:v>Готово</x:v>
      </x:c>
    </x:row>
    <x:row r="76" ht="86.25" customHeight="1">
      <x:c r="A76" s="12"/>
      <x:c r="B76" s="11"/>
      <x:c r="C76" s="12"/>
      <x:c r="D76" s="12" t="s">
        <x:v>251</x:v>
      </x:c>
      <x:c r="E76" s="11" t="s">
        <x:v>184</x:v>
      </x:c>
      <x:c r="F76" s="11"/>
      <x:c r="G76" s="11"/>
      <x:c r="H76" s="11"/>
      <x:c r="I76" s="11"/>
      <x:c r="J76" s="12" t="str">
        <x:f>IF(AND(A76="",C76=""),"",IF(AND(C76="Критический путь",B76=""),"Нет порядка выполнения для критического пути",IF(AND(B76&lt;&gt;"",COUNTBLANK(E76:G76)=3),"Заполните статус",IF(OR(AND(E76&lt;&gt;"",E76&lt;&gt;"Passed",E76&lt;&gt;"Failed",E76&lt;&gt;"Blocked",E76&lt;&gt;"Skipped",E76&lt;&gt;"PASSED",E76&lt;&gt;"FAILED",E76&lt;&gt;"BLOCKED",E76&lt;&gt;"SKIPPED"),AND(F76&lt;&gt;"",F76&lt;&gt;"Passed",F76&lt;&gt;"Failed",F76&lt;&gt;"Blocked",F76&lt;&gt;"Skipped",F76&lt;&gt;"PASSED",F76&lt;&gt;"FAILED",F76&lt;&gt;"BLOCKED",F76&lt;&gt;"SKIPPED"),AND(G76&lt;&gt;"",G76&lt;&gt;"Passed",G76&lt;&gt;"Failed",G76&lt;&gt;"Blocked",G76&lt;&gt;"Skipped",G76&lt;&gt;"PASSED",G76&lt;&gt;"FAILED",G76&lt;&gt;"BLOCKED",G76&lt;&gt;"SKIPPED")),"Статус неверен",IF(AND(COUNTIF(E76:G76,"Failed")+COUNTIF(E76:G76,"FAILED")&gt;0,OR(H76="",COUNTIFS('Баг-репорты'!$A$5:$A$24,TRIM(H76),'Баг-репорты'!$I$5:$I$24,"Готово")=0)),"Связь статуса и ID баг-репорта неверна",IF(AND(COUNTIF(E76:G76,"Blocked")+COUNTIF(E76:G76,"BLOCKED")&gt;0,H76=""),"Укажите причину Blocked",IF(AND(COUNTIF(E76:G76,"Failed")+COUNTIF(E76:G76,"FAILED")=0,COUNTIF(E76:G76,"Blocked")+COUNTIF(E76:G76,"BLOCKED")=0,H76&lt;&gt;""),"Связь статуса и ID баг-репорта неверна","Готово")))))))</x:f>
      </x:c>
    </x:row>
    <x:row r="77" ht="21" customHeight="1">
      <x:c r="A77" s="9" t="s">
        <x:v>230</x:v>
      </x:c>
      <x:c r="B77" s="3"/>
      <x:c r="C77" s="3"/>
      <x:c r="D77" s="3"/>
      <x:c r="E77" s="3"/>
      <x:c r="F77" s="3"/>
      <x:c r="G77" s="3"/>
      <x:c r="H77" s="3"/>
      <x:c r="I77" s="3"/>
      <x:c r="J77" s="4"/>
    </x:row>
    <x:row r="78" ht="64.5" customHeight="1">
      <x:c r="A78" s="12">
        <x:v>50.0</x:v>
      </x:c>
      <x:c r="B78" s="11">
        <x:v>25.0</x:v>
      </x:c>
      <x:c r="C78" s="12" t="s">
        <x:v>192</x:v>
      </x:c>
      <x:c r="D78" s="12" t="s">
        <x:v>254</x:v>
      </x:c>
      <x:c r="E78" s="11" t="s">
        <x:v>184</x:v>
      </x:c>
      <x:c r="F78" s="11"/>
      <x:c r="G78" s="11"/>
      <x:c r="H78" s="11"/>
      <x:c r="I78" s="11"/>
      <x:c r="J78" s="12" t="str">
        <x:f>IF(AND(A78="",C78=""),"",IF(AND(C78="Критический путь",B78=""),"Нет порядка выполнения для критического пути",IF(AND(B78&lt;&gt;"",COUNTBLANK(E78:G78)=3),"Заполните статус",IF(OR(AND(E78&lt;&gt;"",E78&lt;&gt;"Passed",E78&lt;&gt;"Failed",E78&lt;&gt;"Blocked",E78&lt;&gt;"Skipped",E78&lt;&gt;"PASSED",E78&lt;&gt;"FAILED",E78&lt;&gt;"BLOCKED",E78&lt;&gt;"SKIPPED"),AND(F78&lt;&gt;"",F78&lt;&gt;"Passed",F78&lt;&gt;"Failed",F78&lt;&gt;"Blocked",F78&lt;&gt;"Skipped",F78&lt;&gt;"PASSED",F78&lt;&gt;"FAILED",F78&lt;&gt;"BLOCKED",F78&lt;&gt;"SKIPPED"),AND(G78&lt;&gt;"",G78&lt;&gt;"Passed",G78&lt;&gt;"Failed",G78&lt;&gt;"Blocked",G78&lt;&gt;"Skipped",G78&lt;&gt;"PASSED",G78&lt;&gt;"FAILED",G78&lt;&gt;"BLOCKED",G78&lt;&gt;"SKIPPED")),"Статус неверен",IF(AND(COUNTIF(E78:G78,"Failed")+COUNTIF(E78:G78,"FAILED")&gt;0,OR(H78="",COUNTIFS('Баг-репорты'!$A$5:$A$24,TRIM(H78),'Баг-репорты'!$I$5:$I$24,"Готово")=0)),"Связь статуса и ID баг-репорта неверна",IF(AND(COUNTIF(E78:G78,"Blocked")+COUNTIF(E78:G78,"BLOCKED")&gt;0,H78=""),"Укажите причину Blocked",IF(AND(COUNTIF(E78:G78,"Failed")+COUNTIF(E78:G78,"FAILED")=0,COUNTIF(E78:G78,"Blocked")+COUNTIF(E78:G78,"BLOCKED")=0,H78&lt;&gt;""),"Связь статуса и ID баг-репорта неверна","Готово")))))))</x:f>
        <x:v>Готово</x:v>
      </x:c>
    </x:row>
    <x:row r="79" ht="69" customHeight="1">
      <x:c r="A79" s="12"/>
      <x:c r="B79" s="11"/>
      <x:c r="C79" s="12"/>
      <x:c r="D79" s="12" t="s">
        <x:v>255</x:v>
      </x:c>
      <x:c r="E79" s="11" t="s">
        <x:v>184</x:v>
      </x:c>
      <x:c r="F79" s="11"/>
      <x:c r="G79" s="11"/>
      <x:c r="H79" s="11"/>
      <x:c r="I79" s="11"/>
      <x:c r="J79" s="12" t="str">
        <x:f>IF(AND(A79="",C79=""),"",IF(AND(C79="Критический путь",B79=""),"Нет порядка выполнения для критического пути",IF(AND(B79&lt;&gt;"",COUNTBLANK(E79:G79)=3),"Заполните статус",IF(OR(AND(E79&lt;&gt;"",E79&lt;&gt;"Passed",E79&lt;&gt;"Failed",E79&lt;&gt;"Blocked",E79&lt;&gt;"Skipped",E79&lt;&gt;"PASSED",E79&lt;&gt;"FAILED",E79&lt;&gt;"BLOCKED",E79&lt;&gt;"SKIPPED"),AND(F79&lt;&gt;"",F79&lt;&gt;"Passed",F79&lt;&gt;"Failed",F79&lt;&gt;"Blocked",F79&lt;&gt;"Skipped",F79&lt;&gt;"PASSED",F79&lt;&gt;"FAILED",F79&lt;&gt;"BLOCKED",F79&lt;&gt;"SKIPPED"),AND(G79&lt;&gt;"",G79&lt;&gt;"Passed",G79&lt;&gt;"Failed",G79&lt;&gt;"Blocked",G79&lt;&gt;"Skipped",G79&lt;&gt;"PASSED",G79&lt;&gt;"FAILED",G79&lt;&gt;"BLOCKED",G79&lt;&gt;"SKIPPED")),"Статус неверен",IF(AND(COUNTIF(E79:G79,"Failed")+COUNTIF(E79:G79,"FAILED")&gt;0,OR(H79="",COUNTIFS('Баг-репорты'!$A$5:$A$24,TRIM(H79),'Баг-репорты'!$I$5:$I$24,"Готово")=0)),"Связь статуса и ID баг-репорта неверна",IF(AND(COUNTIF(E79:G79,"Blocked")+COUNTIF(E79:G79,"BLOCKED")&gt;0,H79=""),"Укажите причину Blocked",IF(AND(COUNTIF(E79:G79,"Failed")+COUNTIF(E79:G79,"FAILED")=0,COUNTIF(E79:G79,"Blocked")+COUNTIF(E79:G79,"BLOCKED")=0,H79&lt;&gt;""),"Связь статуса и ID баг-репорта неверна","Готово")))))))</x:f>
      </x:c>
    </x:row>
    <x:row r="80" ht="62.25" customHeight="1">
      <x:c r="A80" s="12">
        <x:v>51.0</x:v>
      </x:c>
      <x:c r="B80" s="11">
        <x:v>26.0</x:v>
      </x:c>
      <x:c r="C80" s="12" t="s">
        <x:v>192</x:v>
      </x:c>
      <x:c r="D80" s="12" t="s">
        <x:v>256</x:v>
      </x:c>
      <x:c r="E80" s="11" t="s">
        <x:v>184</x:v>
      </x:c>
      <x:c r="F80" s="11"/>
      <x:c r="G80" s="11"/>
      <x:c r="H80" s="11"/>
      <x:c r="I80" s="11"/>
      <x:c r="J80" s="12" t="str">
        <x:f>IF(AND(A80="",C80=""),"",IF(AND(C80="Критический путь",B80=""),"Нет порядка выполнения для критического пути",IF(AND(B80&lt;&gt;"",COUNTBLANK(E80:G80)=3),"Заполните статус",IF(OR(AND(E80&lt;&gt;"",E80&lt;&gt;"Passed",E80&lt;&gt;"Failed",E80&lt;&gt;"Blocked",E80&lt;&gt;"Skipped",E80&lt;&gt;"PASSED",E80&lt;&gt;"FAILED",E80&lt;&gt;"BLOCKED",E80&lt;&gt;"SKIPPED"),AND(F80&lt;&gt;"",F80&lt;&gt;"Passed",F80&lt;&gt;"Failed",F80&lt;&gt;"Blocked",F80&lt;&gt;"Skipped",F80&lt;&gt;"PASSED",F80&lt;&gt;"FAILED",F80&lt;&gt;"BLOCKED",F80&lt;&gt;"SKIPPED"),AND(G80&lt;&gt;"",G80&lt;&gt;"Passed",G80&lt;&gt;"Failed",G80&lt;&gt;"Blocked",G80&lt;&gt;"Skipped",G80&lt;&gt;"PASSED",G80&lt;&gt;"FAILED",G80&lt;&gt;"BLOCKED",G80&lt;&gt;"SKIPPED")),"Статус неверен",IF(AND(COUNTIF(E80:G80,"Failed")+COUNTIF(E80:G80,"FAILED")&gt;0,OR(H80="",COUNTIFS('Баг-репорты'!$A$5:$A$24,TRIM(H80),'Баг-репорты'!$I$5:$I$24,"Готово")=0)),"Связь статуса и ID баг-репорта неверна",IF(AND(COUNTIF(E80:G80,"Blocked")+COUNTIF(E80:G80,"BLOCKED")&gt;0,H80=""),"Укажите причину Blocked",IF(AND(COUNTIF(E80:G80,"Failed")+COUNTIF(E80:G80,"FAILED")=0,COUNTIF(E80:G80,"Blocked")+COUNTIF(E80:G80,"BLOCKED")=0,H80&lt;&gt;""),"Связь статуса и ID баг-репорта неверна","Готово")))))))</x:f>
        <x:v>Готово</x:v>
      </x:c>
    </x:row>
    <x:row r="81" ht="97.5" customHeight="1">
      <x:c r="A81" s="12"/>
      <x:c r="B81" s="11"/>
      <x:c r="C81" s="12"/>
      <x:c r="D81" s="12" t="s">
        <x:v>257</x:v>
      </x:c>
      <x:c r="E81" s="11" t="s">
        <x:v>184</x:v>
      </x:c>
      <x:c r="F81" s="11"/>
      <x:c r="G81" s="11" t="s">
        <x:v>184</x:v>
      </x:c>
      <x:c r="H81" s="11"/>
      <x:c r="I81" s="11"/>
      <x:c r="J81" s="12" t="str">
        <x:f>IF(AND(A81="",C81=""),"",IF(AND(C81="Критический путь",B81=""),"Нет порядка выполнения для критического пути",IF(AND(B81&lt;&gt;"",COUNTBLANK(E81:G81)=3),"Заполните статус",IF(OR(AND(E81&lt;&gt;"",E81&lt;&gt;"Passed",E81&lt;&gt;"Failed",E81&lt;&gt;"Blocked",E81&lt;&gt;"Skipped",E81&lt;&gt;"PASSED",E81&lt;&gt;"FAILED",E81&lt;&gt;"BLOCKED",E81&lt;&gt;"SKIPPED"),AND(F81&lt;&gt;"",F81&lt;&gt;"Passed",F81&lt;&gt;"Failed",F81&lt;&gt;"Blocked",F81&lt;&gt;"Skipped",F81&lt;&gt;"PASSED",F81&lt;&gt;"FAILED",F81&lt;&gt;"BLOCKED",F81&lt;&gt;"SKIPPED"),AND(G81&lt;&gt;"",G81&lt;&gt;"Passed",G81&lt;&gt;"Failed",G81&lt;&gt;"Blocked",G81&lt;&gt;"Skipped",G81&lt;&gt;"PASSED",G81&lt;&gt;"FAILED",G81&lt;&gt;"BLOCKED",G81&lt;&gt;"SKIPPED")),"Статус неверен",IF(AND(COUNTIF(E81:G81,"Failed")+COUNTIF(E81:G81,"FAILED")&gt;0,OR(H81="",COUNTIFS('Баг-репорты'!$A$5:$A$24,TRIM(H81),'Баг-репорты'!$I$5:$I$24,"Готово")=0)),"Связь статуса и ID баг-репорта неверна",IF(AND(COUNTIF(E81:G81,"Blocked")+COUNTIF(E81:G81,"BLOCKED")&gt;0,H81=""),"Укажите причину Blocked",IF(AND(COUNTIF(E81:G81,"Failed")+COUNTIF(E81:G81,"FAILED")=0,COUNTIF(E81:G81,"Blocked")+COUNTIF(E81:G81,"BLOCKED")=0,H81&lt;&gt;""),"Связь статуса и ID баг-репорта неверна","Готово")))))))</x:f>
      </x:c>
    </x:row>
    <x:row r="82" ht="15.75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</x:row>
    <x:row r="83" ht="15.75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</x:row>
    <x:row r="84" ht="15.75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</x:row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3:J3"/>
    <x:mergeCell ref="A5:J5"/>
    <x:mergeCell ref="A16:J16"/>
    <x:mergeCell ref="A20:J20"/>
    <x:mergeCell ref="A24:J24"/>
    <x:mergeCell ref="A74:J74"/>
    <x:mergeCell ref="A77:J77"/>
    <x:mergeCell ref="A29:J29"/>
    <x:mergeCell ref="A33:J33"/>
    <x:mergeCell ref="A40:J40"/>
    <x:mergeCell ref="A47:J47"/>
    <x:mergeCell ref="A64:J64"/>
    <x:mergeCell ref="A68:J68"/>
    <x:mergeCell ref="A71:J71"/>
  </x:mergeCells>
  <x:conditionalFormatting sqref="E5:G81">
    <x:cfRule type="containsText" dxfId="8" priority="1" operator="containsText" text="PASSED">
      <x:formula>NOT(ISERROR(SEARCH(("PASSED"),(E5))))</x:formula>
    </x:cfRule>
  </x:conditionalFormatting>
  <x:conditionalFormatting sqref="E5:G81">
    <x:cfRule type="containsText" dxfId="2" priority="2" operator="containsText" text="FAILED">
      <x:formula>NOT(ISERROR(SEARCH(("FAILED"),(E5))))</x:formula>
    </x:cfRule>
  </x:conditionalFormatting>
  <x:conditionalFormatting sqref="J5:J81">
    <x:cfRule type="containsText" dxfId="8" priority="3" operator="containsText" text="Готово">
      <x:formula>NOT(ISERROR(SEARCH(("Готово"),(J5))))</x:formula>
    </x:cfRule>
  </x:conditionalFormatting>
  <x:conditionalFormatting sqref="J5:J81">
    <x:cfRule type="beginsWith" dxfId="9" priority="4" operator="beginsWith" text="Нет">
      <x:formula>LEFT((J5),LEN("Нет"))=("Нет")</x:formula>
    </x:cfRule>
  </x:conditionalFormatting>
  <x:conditionalFormatting sqref="E6:E81">
    <x:cfRule type="expression" dxfId="0" priority="5">
      <x:formula>AND($A6&lt;&gt;"",$E6="")</x:formula>
    </x:cfRule>
  </x:conditionalFormatting>
  <x:conditionalFormatting sqref="E6:E81">
    <x:cfRule type="expression" dxfId="1" priority="6">
      <x:formula>AND($A6&lt;&gt;"",$E6="Passed")</x:formula>
    </x:cfRule>
  </x:conditionalFormatting>
  <x:conditionalFormatting sqref="E6:E81">
    <x:cfRule type="expression" dxfId="2" priority="7">
      <x:formula>AND($A6&lt;&gt;"",$E6="Failed")</x:formula>
    </x:cfRule>
  </x:conditionalFormatting>
  <x:conditionalFormatting sqref="E6:E81">
    <x:cfRule type="expression" dxfId="3" priority="8">
      <x:formula>AND($A6&lt;&gt;"",$E6="Blocked")</x:formula>
    </x:cfRule>
  </x:conditionalFormatting>
  <x:conditionalFormatting sqref="E6:E81">
    <x:cfRule type="expression" dxfId="4" priority="9">
      <x:formula>AND($A6&lt;&gt;"",$E6="Skipped")</x:formula>
    </x:cfRule>
  </x:conditionalFormatting>
  <x:conditionalFormatting sqref="E6:E81">
    <x:cfRule type="expression" dxfId="5" priority="10">
      <x:formula>AND($A6&lt;&gt;"",$E6&lt;&gt;"",$E6&lt;&gt;"Passed",$E6&lt;&gt;"Failed",$E6&lt;&gt;"Blocked",$E6&lt;&gt;"Skipped")</x:formula>
    </x:cfRule>
  </x:conditionalFormatting>
  <x:conditionalFormatting sqref="F6:F81">
    <x:cfRule type="expression" dxfId="0" priority="11">
      <x:formula>AND($A6&lt;&gt;"",$F6="")</x:formula>
    </x:cfRule>
  </x:conditionalFormatting>
  <x:conditionalFormatting sqref="F6:F81">
    <x:cfRule type="expression" dxfId="1" priority="12">
      <x:formula>AND($A6&lt;&gt;"",$F6="Passed")</x:formula>
    </x:cfRule>
  </x:conditionalFormatting>
  <x:conditionalFormatting sqref="F6:F81">
    <x:cfRule type="expression" dxfId="2" priority="13">
      <x:formula>AND($A6&lt;&gt;"",$F6="Failed")</x:formula>
    </x:cfRule>
  </x:conditionalFormatting>
  <x:conditionalFormatting sqref="F6:F81">
    <x:cfRule type="expression" dxfId="3" priority="14">
      <x:formula>AND($A6&lt;&gt;"",$F6="Blocked")</x:formula>
    </x:cfRule>
  </x:conditionalFormatting>
  <x:conditionalFormatting sqref="F6:F81">
    <x:cfRule type="expression" dxfId="4" priority="15">
      <x:formula>AND($A6&lt;&gt;"",$F6="Skipped")</x:formula>
    </x:cfRule>
  </x:conditionalFormatting>
  <x:conditionalFormatting sqref="F6:F81">
    <x:cfRule type="expression" dxfId="5" priority="16">
      <x:formula>AND($A6&lt;&gt;"",$F6&lt;&gt;"",$F6&lt;&gt;"Passed",$F6&lt;&gt;"Failed",$F6&lt;&gt;"Blocked",$F6&lt;&gt;"Skipped")</x:formula>
    </x:cfRule>
  </x:conditionalFormatting>
  <x:conditionalFormatting sqref="G6:G81">
    <x:cfRule type="expression" dxfId="0" priority="17">
      <x:formula>AND($A6&lt;&gt;"",$G6="")</x:formula>
    </x:cfRule>
  </x:conditionalFormatting>
  <x:conditionalFormatting sqref="G6:G81">
    <x:cfRule type="expression" dxfId="1" priority="18">
      <x:formula>AND($A6&lt;&gt;"",$G6="Passed")</x:formula>
    </x:cfRule>
  </x:conditionalFormatting>
  <x:conditionalFormatting sqref="G6:G81">
    <x:cfRule type="expression" dxfId="2" priority="19">
      <x:formula>AND($A6&lt;&gt;"",$G6="Failed")</x:formula>
    </x:cfRule>
  </x:conditionalFormatting>
  <x:conditionalFormatting sqref="G6:G81">
    <x:cfRule type="expression" dxfId="3" priority="20">
      <x:formula>AND($A6&lt;&gt;"",$G6="Blocked")</x:formula>
    </x:cfRule>
  </x:conditionalFormatting>
  <x:conditionalFormatting sqref="G6:G81">
    <x:cfRule type="expression" dxfId="4" priority="21">
      <x:formula>AND($A6&lt;&gt;"",$G6="Skipped")</x:formula>
    </x:cfRule>
  </x:conditionalFormatting>
  <x:conditionalFormatting sqref="G6:G81">
    <x:cfRule type="expression" dxfId="5" priority="22">
      <x:formula>AND($A6&lt;&gt;"",$G6&lt;&gt;"",$G6&lt;&gt;"Passed",$G6&lt;&gt;"Failed",$G6&lt;&gt;"Blocked",$G6&lt;&gt;"Skipped")</x:formula>
    </x:cfRule>
  </x:conditionalFormatting>
  <x:conditionalFormatting sqref="J6:J81">
    <x:cfRule type="containsText" dxfId="1" priority="23" operator="containsText" text="Готово">
      <x:formula>NOT(ISERROR(SEARCH(("Готово"),(J6))))</x:formula>
    </x:cfRule>
  </x:conditionalFormatting>
  <x:conditionalFormatting sqref="J6:J81">
    <x:cfRule type="containsText" dxfId="3" priority="24" operator="containsText" text="Нужно">
      <x:formula>NOT(ISERROR(SEARCH(("Нужно"),(J6))))</x:formula>
    </x:cfRule>
  </x:conditionalFormatting>
  <x:conditionalFormatting sqref="J6:J81">
    <x:cfRule type="containsText" dxfId="5" priority="25" operator="containsText" text="неверен">
      <x:formula>NOT(ISERROR(SEARCH(("неверен"),(J6))))</x:formula>
    </x:cfRule>
  </x:conditionalFormatting>
  <x:conditionalFormatting sqref="J6:J81">
    <x:cfRule type="containsText" dxfId="6" priority="26" operator="containsText" text="Заполните">
      <x:formula>NOT(ISERROR(SEARCH(("Заполните"),(J6))))</x:formula>
    </x:cfRule>
  </x:conditionalFormatting>
  <x:dataValidations count="2">
    <x:dataValidation type="decimal" allowBlank="1" sqref="B6:B15 B17:B19 B21:B23 B25:B28 B30:B32 B34:B39 B41:B46 B48:B63 B65:B67 B69:B70 B72:B73 B75:B76 B78:B81">
      <x:formula1>1.0</x:formula1>
      <x:formula2>999.0</x:formula2>
    </x:dataValidation>
    <x:dataValidation type="list" allowBlank="1" sqref="E6:G15 E17:G19 E21:G23 E25:G28 E30:G32 E34:G39 E41:G46 E48:G63 E65:G67 E69:G70 E72:G73 E75:G76 E78:G81">
      <x:formula1>"PASSED,FAILED,BLOCKED,SKIPPED"</x:formula1>
    </x:dataValidation>
  </x:dataValidations>
  <x:hyperlinks>
    <x:hyperlink ref="H7" location="'Баг-репорты'!A7"/>
    <x:hyperlink ref="H10" location="'Баг-репорты'!A9"/>
    <x:hyperlink ref="H13" location="'Баг-репорты'!A5"/>
    <x:hyperlink ref="H14" location="'Баг-репорты'!A5"/>
    <x:hyperlink ref="H19" location="'Баг-репорты'!A8"/>
    <x:hyperlink ref="H23" location="'Баг-репорты'!A6"/>
    <x:hyperlink ref="H27" location="'Баг-репорты'!A8"/>
    <x:hyperlink ref="H32" location="'Баг-репорты'!A8"/>
    <x:hyperlink ref="H36" location="'Баг-репорты'!A8"/>
    <x:hyperlink ref="H43" location="'Баг-репорты'!A8"/>
    <x:hyperlink ref="H44" location="'Баг-репорты'!A12"/>
    <x:hyperlink ref="H45" location="'Баг-репорты'!A12"/>
    <x:hyperlink ref="H49" location="'Баг-репорты'!A9"/>
    <x:hyperlink ref="H55" location="'Баг-репорты'!A10"/>
    <x:hyperlink ref="H56" location="'Баг-репорты'!A10"/>
    <x:hyperlink ref="H57" location="'Баг-репорты'!A10"/>
    <x:hyperlink ref="H58" location="'Баг-репорты'!A11"/>
    <x:hyperlink ref="H59" location="'Баг-репорты'!A13"/>
    <x:hyperlink ref="H72" location="'Баг-репорты'!A6"/>
    <x:hyperlink ref="H73" location="'Баг-репорты'!A6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9" customWidth="1"/>
    <x:col min="2" max="2" width="42" customWidth="1"/>
    <x:col min="3" max="3" width="34" customWidth="1"/>
    <x:col min="4" max="4" width="52" customWidth="1"/>
    <x:col min="5" max="6" width="44" customWidth="1"/>
    <x:col min="7" max="7" width="34" customWidth="1"/>
    <x:col min="8" max="8" width="36" customWidth="1"/>
    <x:col min="9" max="9" width="30" customWidth="1"/>
  </x:cols>
  <x:sheetData>
    <x:row r="1" ht="27" customHeight="1">
      <x:c r="A1" s="1" t="s">
        <x:v>258</x:v>
      </x:c>
      <x:c r="J1" s="1"/>
    </x:row>
    <x:row r="2" ht="40.5" customHeight="1">
      <x:c r="A2" s="2"/>
      <x:c r="B2" s="3"/>
      <x:c r="C2" s="3"/>
      <x:c r="D2" s="3"/>
      <x:c r="E2" s="3"/>
      <x:c r="F2" s="3"/>
      <x:c r="G2" s="3"/>
      <x:c r="H2" s="3"/>
      <x:c r="I2" s="4"/>
      <x:c r="J2" s="2"/>
      <x:c r="K2" s="3"/>
      <x:c r="L2" s="3"/>
      <x:c r="M2" s="3"/>
      <x:c r="N2" s="3"/>
      <x:c r="O2" s="3"/>
      <x:c r="P2" s="3"/>
      <x:c r="Q2" s="3"/>
      <x:c r="R2" s="4"/>
    </x:row>
    <x:row r="3" ht="36" customHeight="1">
      <x:c r="A3" s="5"/>
      <x:c r="B3" s="3"/>
      <x:c r="C3" s="3"/>
      <x:c r="D3" s="3"/>
      <x:c r="E3" s="3"/>
      <x:c r="F3" s="3"/>
      <x:c r="G3" s="3"/>
      <x:c r="H3" s="3"/>
      <x:c r="I3" s="4"/>
      <x:c r="J3" s="7"/>
      <x:c r="K3" s="7"/>
    </x:row>
    <x:row r="4">
      <x:c r="A4" s="6" t="s">
        <x:v>156</x:v>
      </x:c>
      <x:c r="B4" s="6" t="s">
        <x:v>259</x:v>
      </x:c>
      <x:c r="C4" s="6" t="s">
        <x:v>260</x:v>
      </x:c>
      <x:c r="D4" s="6" t="s">
        <x:v>261</x:v>
      </x:c>
      <x:c r="E4" s="6" t="s">
        <x:v>262</x:v>
      </x:c>
      <x:c r="F4" s="6" t="s">
        <x:v>263</x:v>
      </x:c>
      <x:c r="G4" s="6" t="s">
        <x:v>264</x:v>
      </x:c>
      <x:c r="H4" s="6" t="s">
        <x:v>265</x:v>
      </x:c>
      <x:c r="I4" s="6" t="s">
        <x:v>160</x:v>
      </x:c>
      <x:c r="J4" s="7" t="s">
        <x:v>266</x:v>
      </x:c>
      <x:c r="K4" s="7" t="s">
        <x:v>267</x:v>
      </x:c>
    </x:row>
    <x:row r="5" ht="90" customHeight="1">
      <x:c r="A5" s="10" t="s">
        <x:v>165</x:v>
      </x:c>
      <x:c r="B5" s="11" t="s">
        <x:v>268</x:v>
      </x:c>
      <x:c r="C5" s="11" t="s">
        <x:v>269</x:v>
      </x:c>
      <x:c r="D5" s="35" t="s">
        <x:v>270</x:v>
      </x:c>
      <x:c r="E5" s="35" t="s">
        <x:v>271</x:v>
      </x:c>
      <x:c r="F5" s="11" t="s">
        <x:v>272</x:v>
      </x:c>
      <x:c r="G5" s="11" t="s">
        <x:v>273</x:v>
      </x:c>
      <x:c r="H5" s="15" t="s">
        <x:v>274</x:v>
      </x:c>
      <x:c r="I5" s="12" t="str">
        <x:f t="shared" ref="I5:I24" si="1">IF(A5="","",IF(OR(B5="",D5="",E5="",F5="",G5="",H5=""),"Заполните обязательные поля",IF(TRIM(E5)=TRIM(F5),"ОР и ФР должны отличаться",IF(LEFT(H5,4)&lt;&gt;"http","Добавьте ссылку на доказательство","Готово"))))</x:f>
        <x:v>Готово</x:v>
      </x:c>
      <x:c r="J5" s="17" t="s">
        <x:v>275</x:v>
      </x:c>
      <x:c r="K5" s="17" t="s">
        <x:v>276</x:v>
      </x:c>
    </x:row>
    <x:row r="6" ht="78" customHeight="1">
      <x:c r="A6" s="16" t="s">
        <x:v>167</x:v>
      </x:c>
      <x:c r="B6" s="11" t="s">
        <x:v>277</x:v>
      </x:c>
      <x:c r="C6" s="11" t="s">
        <x:v>269</x:v>
      </x:c>
      <x:c r="D6" s="35" t="s">
        <x:v>278</x:v>
      </x:c>
      <x:c r="E6" s="11" t="s">
        <x:v>279</x:v>
      </x:c>
      <x:c r="F6" s="11" t="s">
        <x:v>280</x:v>
      </x:c>
      <x:c r="G6" s="11" t="s">
        <x:v>281</x:v>
      </x:c>
      <x:c r="H6" s="19" t="s">
        <x:v>282</x:v>
      </x:c>
      <x:c r="I6" s="12" t="str">
        <x:f t="shared" si="1"/>
        <x:v>Готово</x:v>
      </x:c>
      <x:c r="J6" s="17" t="s">
        <x:v>275</x:v>
      </x:c>
      <x:c r="K6" s="17" t="s">
        <x:v>283</x:v>
      </x:c>
    </x:row>
    <x:row r="7">
      <x:c r="A7" s="16" t="s">
        <x:v>188</x:v>
      </x:c>
      <x:c r="B7" s="11" t="s">
        <x:v>284</x:v>
      </x:c>
      <x:c r="C7" s="11" t="s">
        <x:v>269</x:v>
      </x:c>
      <x:c r="D7" s="11" t="s">
        <x:v>285</x:v>
      </x:c>
      <x:c r="E7" s="11" t="s">
        <x:v>286</x:v>
      </x:c>
      <x:c r="F7" s="11" t="s">
        <x:v>287</x:v>
      </x:c>
      <x:c r="G7" s="11" t="s">
        <x:v>288</x:v>
      </x:c>
      <x:c r="H7" s="19" t="s">
        <x:v>289</x:v>
      </x:c>
      <x:c r="I7" s="12" t="str">
        <x:f t="shared" si="1"/>
        <x:v>Готово</x:v>
      </x:c>
      <x:c r="J7" s="17" t="s">
        <x:v>275</x:v>
      </x:c>
      <x:c r="K7" s="17" t="s">
        <x:v>276</x:v>
      </x:c>
    </x:row>
    <x:row r="8" ht="126" customHeight="1">
      <x:c r="A8" s="16" t="s">
        <x:v>208</x:v>
      </x:c>
      <x:c r="B8" s="35" t="s">
        <x:v>290</x:v>
      </x:c>
      <x:c r="C8" s="11" t="s">
        <x:v>269</x:v>
      </x:c>
      <x:c r="D8" s="35" t="s">
        <x:v>291</x:v>
      </x:c>
      <x:c r="E8" s="35" t="s">
        <x:v>292</x:v>
      </x:c>
      <x:c r="F8" s="11" t="s">
        <x:v>293</x:v>
      </x:c>
      <x:c r="G8" s="11" t="s">
        <x:v>281</x:v>
      </x:c>
      <x:c r="H8" s="22" t="s">
        <x:v>294</x:v>
      </x:c>
      <x:c r="I8" s="12" t="str">
        <x:f t="shared" si="1"/>
        <x:v>Готово</x:v>
      </x:c>
      <x:c r="J8" s="17" t="s">
        <x:v>275</x:v>
      </x:c>
      <x:c r="K8" s="17" t="s">
        <x:v>283</x:v>
      </x:c>
    </x:row>
    <x:row r="9" ht="122.25" customHeight="1">
      <x:c r="A9" s="11" t="s">
        <x:v>194</x:v>
      </x:c>
      <x:c r="B9" s="11" t="s">
        <x:v>295</x:v>
      </x:c>
      <x:c r="C9" s="11" t="s">
        <x:v>269</x:v>
      </x:c>
      <x:c r="D9" s="11" t="s">
        <x:v>296</x:v>
      </x:c>
      <x:c r="E9" s="11" t="s">
        <x:v>297</x:v>
      </x:c>
      <x:c r="F9" s="11" t="s">
        <x:v>298</x:v>
      </x:c>
      <x:c r="G9" s="11" t="s">
        <x:v>281</x:v>
      </x:c>
      <x:c r="H9" s="22" t="s">
        <x:v>299</x:v>
      </x:c>
      <x:c r="I9" s="12" t="str">
        <x:f t="shared" si="1"/>
        <x:v>Готово</x:v>
      </x:c>
      <x:c r="J9" s="17" t="s">
        <x:v>275</x:v>
      </x:c>
      <x:c r="K9" s="17" t="s">
        <x:v>283</x:v>
      </x:c>
    </x:row>
    <x:row r="10" ht="114" customHeight="1">
      <x:c r="A10" s="11" t="s">
        <x:v>239</x:v>
      </x:c>
      <x:c r="B10" s="11" t="s">
        <x:v>300</x:v>
      </x:c>
      <x:c r="C10" s="11" t="s">
        <x:v>269</x:v>
      </x:c>
      <x:c r="D10" s="11" t="s">
        <x:v>301</x:v>
      </x:c>
      <x:c r="E10" s="35" t="s">
        <x:v>302</x:v>
      </x:c>
      <x:c r="F10" s="11" t="s">
        <x:v>303</x:v>
      </x:c>
      <x:c r="G10" s="11" t="s">
        <x:v>281</x:v>
      </x:c>
      <x:c r="H10" s="22" t="s">
        <x:v>304</x:v>
      </x:c>
      <x:c r="I10" s="12" t="str">
        <x:f t="shared" si="1"/>
        <x:v>Готово</x:v>
      </x:c>
      <x:c r="J10" s="17" t="s">
        <x:v>305</x:v>
      </x:c>
      <x:c r="K10" s="17" t="s">
        <x:v>276</x:v>
      </x:c>
    </x:row>
    <x:row r="11" ht="78" customHeight="1">
      <x:c r="A11" s="11" t="s">
        <x:v>243</x:v>
      </x:c>
      <x:c r="B11" s="35" t="s">
        <x:v>306</x:v>
      </x:c>
      <x:c r="C11" s="11" t="s">
        <x:v>269</x:v>
      </x:c>
      <x:c r="D11" s="35" t="s">
        <x:v>307</x:v>
      </x:c>
      <x:c r="E11" s="11" t="s">
        <x:v>308</x:v>
      </x:c>
      <x:c r="F11" s="11" t="s">
        <x:v>309</x:v>
      </x:c>
      <x:c r="G11" s="11" t="s">
        <x:v>281</x:v>
      </x:c>
      <x:c r="H11" s="22" t="s">
        <x:v>310</x:v>
      </x:c>
      <x:c r="I11" s="12" t="str">
        <x:f t="shared" si="1"/>
        <x:v>Готово</x:v>
      </x:c>
      <x:c r="J11" s="17" t="s">
        <x:v>305</x:v>
      </x:c>
      <x:c r="K11" s="17" t="s">
        <x:v>276</x:v>
      </x:c>
    </x:row>
    <x:row r="12" ht="83.25" customHeight="1">
      <x:c r="A12" s="11" t="s">
        <x:v>228</x:v>
      </x:c>
      <x:c r="B12" s="11" t="s">
        <x:v>311</x:v>
      </x:c>
      <x:c r="C12" s="11" t="s">
        <x:v>269</x:v>
      </x:c>
      <x:c r="D12" s="11" t="s">
        <x:v>312</x:v>
      </x:c>
      <x:c r="E12" s="11" t="s">
        <x:v>313</x:v>
      </x:c>
      <x:c r="F12" s="11" t="s">
        <x:v>314</x:v>
      </x:c>
      <x:c r="G12" s="11" t="s">
        <x:v>281</x:v>
      </x:c>
      <x:c r="H12" s="22" t="s">
        <x:v>315</x:v>
      </x:c>
      <x:c r="I12" s="12" t="str">
        <x:f t="shared" si="1"/>
        <x:v>Готово</x:v>
      </x:c>
      <x:c r="J12" s="17" t="s">
        <x:v>305</x:v>
      </x:c>
      <x:c r="K12" s="17" t="s">
        <x:v>276</x:v>
      </x:c>
    </x:row>
    <x:row r="13" ht="111.75" customHeight="1">
      <x:c r="A13" s="11" t="s">
        <x:v>245</x:v>
      </x:c>
      <x:c r="B13" s="11" t="s">
        <x:v>316</x:v>
      </x:c>
      <x:c r="C13" s="11" t="s">
        <x:v>317</x:v>
      </x:c>
      <x:c r="D13" s="35" t="s">
        <x:v>318</x:v>
      </x:c>
      <x:c r="E13" s="11" t="s">
        <x:v>319</x:v>
      </x:c>
      <x:c r="F13" s="11" t="s">
        <x:v>320</x:v>
      </x:c>
      <x:c r="G13" s="11" t="s">
        <x:v>281</x:v>
      </x:c>
      <x:c r="H13" s="22" t="s">
        <x:v>321</x:v>
      </x:c>
      <x:c r="I13" s="12" t="str">
        <x:f t="shared" si="1"/>
        <x:v>Готово</x:v>
      </x:c>
      <x:c r="J13" s="17" t="s">
        <x:v>305</x:v>
      </x:c>
      <x:c r="K13" s="17" t="s">
        <x:v>276</x:v>
      </x:c>
    </x:row>
    <x:row r="14" ht="99.75" customHeight="1">
      <x:c r="A14" s="11" t="s">
        <x:v>322</x:v>
      </x:c>
      <x:c r="B14" s="11" t="s">
        <x:v>323</x:v>
      </x:c>
      <x:c r="C14" s="11" t="s">
        <x:v>269</x:v>
      </x:c>
      <x:c r="D14" s="11" t="s">
        <x:v>324</x:v>
      </x:c>
      <x:c r="E14" s="11" t="s">
        <x:v>325</x:v>
      </x:c>
      <x:c r="F14" s="11" t="s">
        <x:v>326</x:v>
      </x:c>
      <x:c r="G14" s="11" t="s">
        <x:v>281</x:v>
      </x:c>
      <x:c r="H14" s="19" t="s">
        <x:v>327</x:v>
      </x:c>
      <x:c r="I14" s="12" t="str">
        <x:f t="shared" si="1"/>
        <x:v>Готово</x:v>
      </x:c>
      <x:c r="J14" s="17" t="s">
        <x:v>275</x:v>
      </x:c>
      <x:c r="K14" s="17" t="s">
        <x:v>328</x:v>
      </x:c>
    </x:row>
    <x:row r="15" ht="74.25" customHeight="1">
      <x:c r="A15" s="11" t="s">
        <x:v>329</x:v>
      </x:c>
      <x:c r="B15" s="11" t="s">
        <x:v>330</x:v>
      </x:c>
      <x:c r="C15" s="11" t="s">
        <x:v>331</x:v>
      </x:c>
      <x:c r="D15" s="11" t="s">
        <x:v>332</x:v>
      </x:c>
      <x:c r="E15" s="11" t="s">
        <x:v>333</x:v>
      </x:c>
      <x:c r="F15" s="11" t="s">
        <x:v>334</x:v>
      </x:c>
      <x:c r="G15" s="11" t="s">
        <x:v>335</x:v>
      </x:c>
      <x:c r="H15" s="22" t="s">
        <x:v>336</x:v>
      </x:c>
      <x:c r="I15" s="12" t="str">
        <x:f t="shared" si="1"/>
        <x:v>Готово</x:v>
      </x:c>
      <x:c r="J15" s="17" t="s">
        <x:v>337</x:v>
      </x:c>
      <x:c r="K15" s="17" t="s">
        <x:v>328</x:v>
      </x:c>
    </x:row>
    <x:row r="16" ht="117" customHeight="1">
      <x:c r="A16" s="11" t="s">
        <x:v>338</x:v>
      </x:c>
      <x:c r="B16" s="35" t="s">
        <x:v>339</x:v>
      </x:c>
      <x:c r="C16" s="11" t="s">
        <x:v>331</x:v>
      </x:c>
      <x:c r="D16" s="11" t="s">
        <x:v>340</x:v>
      </x:c>
      <x:c r="E16" s="11" t="s">
        <x:v>341</x:v>
      </x:c>
      <x:c r="F16" s="11" t="s">
        <x:v>342</x:v>
      </x:c>
      <x:c r="G16" s="11" t="s">
        <x:v>335</x:v>
      </x:c>
      <x:c r="H16" s="22" t="s">
        <x:v>343</x:v>
      </x:c>
      <x:c r="I16" s="12" t="str">
        <x:f t="shared" si="1"/>
        <x:v>Готово</x:v>
      </x:c>
      <x:c r="J16" s="17" t="s">
        <x:v>305</x:v>
      </x:c>
      <x:c r="K16" s="17" t="s">
        <x:v>276</x:v>
      </x:c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2" t="str">
        <x:f t="shared" si="1"/>
      </x:c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2" t="str">
        <x:f t="shared" si="1"/>
      </x:c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2" t="str">
        <x:f t="shared" si="1"/>
      </x:c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2" t="str">
        <x:f t="shared" si="1"/>
      </x:c>
    </x:row>
    <x:row r="21" ht="15.75" customHeight="1">
      <x:c r="A21" s="11"/>
      <x:c r="B21" s="11"/>
      <x:c r="C21" s="11"/>
      <x:c r="D21" s="11"/>
      <x:c r="E21" s="11"/>
      <x:c r="F21" s="11"/>
      <x:c r="G21" s="11"/>
      <x:c r="H21" s="11"/>
      <x:c r="I21" s="12" t="str">
        <x:f t="shared" si="1"/>
      </x:c>
    </x:row>
    <x:row r="22" ht="15.75" customHeight="1">
      <x:c r="A22" s="11"/>
      <x:c r="B22" s="11"/>
      <x:c r="C22" s="11"/>
      <x:c r="D22" s="11"/>
      <x:c r="E22" s="11"/>
      <x:c r="F22" s="11"/>
      <x:c r="G22" s="11"/>
      <x:c r="H22" s="11"/>
      <x:c r="I22" s="12" t="str">
        <x:f t="shared" si="1"/>
      </x:c>
    </x:row>
    <x:row r="23" ht="15.75" customHeight="1">
      <x:c r="A23" s="11"/>
      <x:c r="B23" s="11"/>
      <x:c r="C23" s="11"/>
      <x:c r="D23" s="11"/>
      <x:c r="E23" s="11"/>
      <x:c r="F23" s="11"/>
      <x:c r="G23" s="11"/>
      <x:c r="H23" s="11"/>
      <x:c r="I23" s="12" t="str">
        <x:f t="shared" si="1"/>
      </x:c>
    </x:row>
    <x:row r="24" ht="15.75" customHeight="1">
      <x:c r="A24" s="11"/>
      <x:c r="B24" s="11"/>
      <x:c r="C24" s="11"/>
      <x:c r="D24" s="11"/>
      <x:c r="E24" s="11"/>
      <x:c r="F24" s="11"/>
      <x:c r="G24" s="11"/>
      <x:c r="H24" s="11"/>
      <x:c r="I24" s="12" t="str">
        <x:f t="shared" si="1"/>
      </x:c>
    </x:row>
    <x:row r="25" ht="15.75" customHeight="1">
      <x:c r="A25" s="8"/>
      <x:c r="B25" s="8"/>
      <x:c r="C25" s="8"/>
      <x:c r="D25" s="8"/>
      <x:c r="E25" s="8"/>
      <x:c r="F25" s="8"/>
      <x:c r="G25" s="8"/>
      <x:c r="H25" s="8"/>
      <x:c r="I25" s="8"/>
    </x:row>
    <x:row r="26" ht="15.75" customHeight="1">
      <x:c r="A26" s="8"/>
      <x:c r="B26" s="8"/>
      <x:c r="C26" s="8"/>
      <x:c r="D26" s="8"/>
      <x:c r="E26" s="8"/>
      <x:c r="F26" s="8"/>
      <x:c r="G26" s="8"/>
      <x:c r="H26" s="8"/>
      <x:c r="I26" s="8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J1:R1"/>
    <x:mergeCell ref="A2:I2"/>
    <x:mergeCell ref="J2:R2"/>
    <x:mergeCell ref="A3:I3"/>
  </x:mergeCells>
  <x:conditionalFormatting sqref="I5:I24">
    <x:cfRule type="containsText" dxfId="1" priority="1" operator="containsText" text="Готово">
      <x:formula>NOT(ISERROR(SEARCH(("Готово"),(I5))))</x:formula>
    </x:cfRule>
  </x:conditionalFormatting>
  <x:conditionalFormatting sqref="I5:I24">
    <x:cfRule type="containsText" dxfId="3" priority="2" operator="containsText" text="Нужно">
      <x:formula>NOT(ISERROR(SEARCH(("Нужно"),(I5))))</x:formula>
    </x:cfRule>
  </x:conditionalFormatting>
  <x:conditionalFormatting sqref="I5:I24">
    <x:cfRule type="containsText" dxfId="5" priority="3" operator="containsText" text="неверен">
      <x:formula>NOT(ISERROR(SEARCH(("неверен"),(I5))))</x:formula>
    </x:cfRule>
  </x:conditionalFormatting>
  <x:conditionalFormatting sqref="I5:I24">
    <x:cfRule type="containsText" dxfId="6" priority="4" operator="containsText" text="Заполните">
      <x:formula>NOT(ISERROR(SEARCH(("Заполните"),(I5))))</x:formula>
    </x:cfRule>
  </x:conditionalFormatting>
  <x:dataValidations count="2">
    <x:dataValidation type="list" allowBlank="1" showErrorMessage="1" sqref="J5:J16">
      <x:formula1>"Blocker,Critical,Major,Minor"</x:formula1>
    </x:dataValidation>
    <x:dataValidation type="list" allowBlank="1" showErrorMessage="1" sqref="K5:K16">
      <x:formula1>"High,Medium,Low"</x:formula1>
    </x:dataValidation>
  </x:dataValidations>
  <x:hyperlinks>
    <x:hyperlink xmlns:r="http://schemas.openxmlformats.org/officeDocument/2006/relationships" ref="H5" r:id="R5b53f900e43a4e82"/>
    <x:hyperlink ref="A6" location="'Баг-репорты'!A6"/>
    <x:hyperlink xmlns:r="http://schemas.openxmlformats.org/officeDocument/2006/relationships" ref="H6" r:id="Reafbace95ae84317"/>
    <x:hyperlink ref="A7" location="'Баг-репорты'!A7"/>
    <x:hyperlink xmlns:r="http://schemas.openxmlformats.org/officeDocument/2006/relationships" ref="H7" r:id="R0944cabde7af4bb8"/>
    <x:hyperlink ref="A8" location="'Баг-репорты'!A8"/>
    <x:hyperlink xmlns:r="http://schemas.openxmlformats.org/officeDocument/2006/relationships" ref="H8" r:id="Re2750bbc1f044d1a"/>
    <x:hyperlink xmlns:r="http://schemas.openxmlformats.org/officeDocument/2006/relationships" ref="H9" r:id="R3ca5984c9a094169"/>
    <x:hyperlink xmlns:r="http://schemas.openxmlformats.org/officeDocument/2006/relationships" ref="H10" r:id="R30e4b18d37ac4a7d"/>
    <x:hyperlink xmlns:r="http://schemas.openxmlformats.org/officeDocument/2006/relationships" ref="H11" r:id="R0d6d119e3c9e495b"/>
    <x:hyperlink xmlns:r="http://schemas.openxmlformats.org/officeDocument/2006/relationships" ref="H12" r:id="R13b68de2489d4e9d"/>
    <x:hyperlink xmlns:r="http://schemas.openxmlformats.org/officeDocument/2006/relationships" ref="H13" r:id="Radda95aa2faf493d"/>
    <x:hyperlink xmlns:r="http://schemas.openxmlformats.org/officeDocument/2006/relationships" ref="H14" r:id="Rf1b2607daae14049"/>
    <x:hyperlink xmlns:r="http://schemas.openxmlformats.org/officeDocument/2006/relationships" ref="H15" r:id="R0da0b4f5d30242c5"/>
    <x:hyperlink xmlns:r="http://schemas.openxmlformats.org/officeDocument/2006/relationships" ref="H16" r:id="R6f774488f266477e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2" customWidth="1"/>
    <x:col min="2" max="2" width="36" customWidth="1"/>
    <x:col min="3" max="4" width="18" customWidth="1"/>
    <x:col min="5" max="5" width="38" customWidth="1"/>
    <x:col min="6" max="7" width="42" customWidth="1"/>
  </x:cols>
  <x:sheetData>
    <x:row r="1" ht="27" customHeight="1">
      <x:c r="A1" s="1" t="s">
        <x:v>344</x:v>
      </x:c>
    </x:row>
    <x:row r="2" ht="40.5" customHeight="1">
      <x:c r="A2" s="2"/>
      <x:c r="B2" s="3"/>
      <x:c r="C2" s="3"/>
      <x:c r="D2" s="3"/>
      <x:c r="E2" s="3"/>
      <x:c r="F2" s="3"/>
      <x:c r="G2" s="4"/>
    </x:row>
    <x:row r="3" ht="36" customHeight="1">
      <x:c r="A3" s="5"/>
      <x:c r="B3" s="3"/>
      <x:c r="C3" s="3"/>
      <x:c r="D3" s="3"/>
      <x:c r="E3" s="3"/>
      <x:c r="F3" s="3"/>
      <x:c r="G3" s="4"/>
    </x:row>
    <x:row r="4">
      <x:c r="A4" s="6" t="s">
        <x:v>345</x:v>
      </x:c>
      <x:c r="B4" s="6" t="s">
        <x:v>346</x:v>
      </x:c>
      <x:c r="C4" s="6" t="s">
        <x:v>347</x:v>
      </x:c>
      <x:c r="D4" s="6" t="s">
        <x:v>348</x:v>
      </x:c>
      <x:c r="E4" s="6" t="s">
        <x:v>349</x:v>
      </x:c>
      <x:c r="F4" s="6" t="s">
        <x:v>350</x:v>
      </x:c>
      <x:c r="G4" s="6" t="s">
        <x:v>351</x:v>
      </x:c>
    </x:row>
    <x:row r="5" ht="133.5" customHeight="1">
      <x:c r="A5" s="11" t="s">
        <x:v>10</x:v>
      </x:c>
      <x:c r="B5" s="11" t="s">
        <x:v>352</x:v>
      </x:c>
      <x:c r="C5" s="11" t="s">
        <x:v>353</x:v>
      </x:c>
      <x:c r="D5" s="11" t="s">
        <x:v>354</x:v>
      </x:c>
      <x:c r="E5" s="11" t="s">
        <x:v>355</x:v>
      </x:c>
      <x:c r="F5" s="11" t="s">
        <x:v>356</x:v>
      </x:c>
      <x:c r="G5" s="11" t="s">
        <x:v>357</x:v>
      </x:c>
    </x:row>
    <x:row r="6" ht="69.75" customHeight="1">
      <x:c r="A6" s="11" t="s">
        <x:v>10</x:v>
      </x:c>
      <x:c r="B6" s="11" t="s">
        <x:v>358</x:v>
      </x:c>
      <x:c r="C6" s="11" t="s">
        <x:v>353</x:v>
      </x:c>
      <x:c r="D6" s="11" t="s">
        <x:v>359</x:v>
      </x:c>
      <x:c r="E6" s="11" t="s">
        <x:v>360</x:v>
      </x:c>
      <x:c r="F6" s="11" t="s">
        <x:v>360</x:v>
      </x:c>
      <x:c r="G6" s="11" t="s">
        <x:v>361</x:v>
      </x:c>
    </x:row>
    <x:row r="7" ht="81.75" customHeight="1">
      <x:c r="A7" s="11" t="s">
        <x:v>10</x:v>
      </x:c>
      <x:c r="B7" s="11" t="s">
        <x:v>362</x:v>
      </x:c>
      <x:c r="C7" s="11" t="s">
        <x:v>353</x:v>
      </x:c>
      <x:c r="D7" s="11" t="s">
        <x:v>363</x:v>
      </x:c>
      <x:c r="E7" s="11" t="s">
        <x:v>364</x:v>
      </x:c>
      <x:c r="F7" s="11" t="s">
        <x:v>365</x:v>
      </x:c>
      <x:c r="G7" s="11" t="s">
        <x:v>366</x:v>
      </x:c>
    </x:row>
    <x:row r="8" ht="60.75" customHeight="1">
      <x:c r="A8" s="11" t="s">
        <x:v>10</x:v>
      </x:c>
      <x:c r="B8" s="11" t="s">
        <x:v>367</x:v>
      </x:c>
      <x:c r="C8" s="11" t="s">
        <x:v>368</x:v>
      </x:c>
      <x:c r="D8" s="11" t="s">
        <x:v>369</x:v>
      </x:c>
      <x:c r="E8" s="11" t="s">
        <x:v>370</x:v>
      </x:c>
      <x:c r="F8" s="11" t="s">
        <x:v>371</x:v>
      </x:c>
      <x:c r="G8" s="11" t="s">
        <x:v>372</x:v>
      </x:c>
    </x:row>
    <x:row r="9" ht="69.75" customHeight="1">
      <x:c r="A9" s="11" t="s">
        <x:v>10</x:v>
      </x:c>
      <x:c r="B9" s="11" t="s">
        <x:v>373</x:v>
      </x:c>
      <x:c r="C9" s="11" t="s">
        <x:v>368</x:v>
      </x:c>
      <x:c r="D9" s="11" t="s">
        <x:v>369</x:v>
      </x:c>
      <x:c r="E9" s="11" t="s">
        <x:v>374</x:v>
      </x:c>
      <x:c r="F9" s="11" t="s">
        <x:v>371</x:v>
      </x:c>
      <x:c r="G9" s="11" t="s">
        <x:v>375</x:v>
      </x:c>
    </x:row>
    <x:row r="10" ht="69.75" customHeight="1">
      <x:c r="A10" s="11" t="s">
        <x:v>10</x:v>
      </x:c>
      <x:c r="B10" s="11" t="s">
        <x:v>376</x:v>
      </x:c>
      <x:c r="C10" s="11" t="s">
        <x:v>368</x:v>
      </x:c>
      <x:c r="D10" s="11" t="s">
        <x:v>369</x:v>
      </x:c>
      <x:c r="E10" s="11" t="s">
        <x:v>377</x:v>
      </x:c>
      <x:c r="F10" s="11" t="s">
        <x:v>371</x:v>
      </x:c>
      <x:c r="G10" s="11" t="s">
        <x:v>375</x:v>
      </x:c>
    </x:row>
    <x:row r="11" ht="69.75" customHeight="1">
      <x:c r="A11" s="11" t="s">
        <x:v>10</x:v>
      </x:c>
      <x:c r="B11" s="11" t="s">
        <x:v>378</x:v>
      </x:c>
      <x:c r="C11" s="11" t="s">
        <x:v>368</x:v>
      </x:c>
      <x:c r="D11" s="11" t="s">
        <x:v>369</x:v>
      </x:c>
      <x:c r="E11" s="11" t="s">
        <x:v>379</x:v>
      </x:c>
      <x:c r="F11" s="11" t="s">
        <x:v>371</x:v>
      </x:c>
      <x:c r="G11" s="11" t="s">
        <x:v>375</x:v>
      </x:c>
    </x:row>
    <x:row r="12" ht="42" customHeight="1">
      <x:c r="A12" s="11" t="s">
        <x:v>10</x:v>
      </x:c>
      <x:c r="B12" s="35" t="s">
        <x:v>380</x:v>
      </x:c>
      <x:c r="C12" s="11" t="s">
        <x:v>368</x:v>
      </x:c>
      <x:c r="D12" s="11" t="s">
        <x:v>369</x:v>
      </x:c>
      <x:c r="E12" s="11" t="s">
        <x:v>381</x:v>
      </x:c>
      <x:c r="F12" s="11" t="s">
        <x:v>371</x:v>
      </x:c>
      <x:c r="G12" s="11" t="s">
        <x:v>375</x:v>
      </x:c>
    </x:row>
    <x:row r="13" ht="42" customHeight="1">
      <x:c r="A13" s="11" t="s">
        <x:v>10</x:v>
      </x:c>
      <x:c r="B13" s="35" t="s">
        <x:v>382</x:v>
      </x:c>
      <x:c r="C13" s="11" t="s">
        <x:v>368</x:v>
      </x:c>
      <x:c r="D13" s="11" t="s">
        <x:v>369</x:v>
      </x:c>
      <x:c r="E13" s="11" t="s">
        <x:v>383</x:v>
      </x:c>
      <x:c r="F13" s="11" t="s">
        <x:v>371</x:v>
      </x:c>
      <x:c r="G13" s="11" t="s">
        <x:v>375</x:v>
      </x:c>
    </x:row>
    <x:row r="14" ht="54" customHeight="1">
      <x:c r="A14" s="11" t="s">
        <x:v>10</x:v>
      </x:c>
      <x:c r="B14" s="35" t="s">
        <x:v>384</x:v>
      </x:c>
      <x:c r="C14" s="11" t="s">
        <x:v>368</x:v>
      </x:c>
      <x:c r="D14" s="11" t="s">
        <x:v>369</x:v>
      </x:c>
      <x:c r="E14" s="35" t="s">
        <x:v>385</x:v>
      </x:c>
      <x:c r="F14" s="11" t="s">
        <x:v>371</x:v>
      </x:c>
      <x:c r="G14" s="35" t="s">
        <x:v>386</x:v>
      </x:c>
    </x:row>
    <x:row r="15" ht="42" customHeight="1">
      <x:c r="A15" s="11" t="s">
        <x:v>10</x:v>
      </x:c>
      <x:c r="B15" s="35" t="s">
        <x:v>387</x:v>
      </x:c>
      <x:c r="C15" s="11" t="s">
        <x:v>368</x:v>
      </x:c>
      <x:c r="D15" s="11" t="s">
        <x:v>369</x:v>
      </x:c>
      <x:c r="E15" s="35" t="s">
        <x:v>388</x:v>
      </x:c>
      <x:c r="F15" s="11" t="s">
        <x:v>371</x:v>
      </x:c>
      <x:c r="G15" s="35" t="s">
        <x:v>389</x:v>
      </x:c>
    </x:row>
    <x:row r="16" ht="54" customHeight="1">
      <x:c r="A16" s="11" t="s">
        <x:v>10</x:v>
      </x:c>
      <x:c r="B16" s="35" t="s">
        <x:v>390</x:v>
      </x:c>
      <x:c r="C16" s="11" t="s">
        <x:v>368</x:v>
      </x:c>
      <x:c r="D16" s="11" t="s">
        <x:v>369</x:v>
      </x:c>
      <x:c r="E16" s="35" t="s">
        <x:v>391</x:v>
      </x:c>
      <x:c r="F16" s="11" t="s">
        <x:v>371</x:v>
      </x:c>
      <x:c r="G16" s="11" t="s">
        <x:v>386</x:v>
      </x:c>
    </x:row>
    <x:row r="17" ht="42" customHeight="1">
      <x:c r="A17" s="11" t="s">
        <x:v>10</x:v>
      </x:c>
      <x:c r="B17" s="35" t="s">
        <x:v>392</x:v>
      </x:c>
      <x:c r="C17" s="11" t="s">
        <x:v>368</x:v>
      </x:c>
      <x:c r="D17" s="11" t="s">
        <x:v>369</x:v>
      </x:c>
      <x:c r="E17" s="35" t="s">
        <x:v>393</x:v>
      </x:c>
      <x:c r="F17" s="11" t="s">
        <x:v>371</x:v>
      </x:c>
      <x:c r="G17" s="35" t="s">
        <x:v>394</x:v>
      </x:c>
    </x:row>
    <x:row r="18" ht="54" customHeight="1">
      <x:c r="A18" s="35" t="s">
        <x:v>16</x:v>
      </x:c>
      <x:c r="B18" s="35" t="s">
        <x:v>395</x:v>
      </x:c>
      <x:c r="C18" s="35" t="s">
        <x:v>353</x:v>
      </x:c>
      <x:c r="D18" s="35" t="s">
        <x:v>396</x:v>
      </x:c>
      <x:c r="E18" s="35" t="s">
        <x:v>397</x:v>
      </x:c>
      <x:c r="F18" s="35" t="s">
        <x:v>398</x:v>
      </x:c>
      <x:c r="G18" s="35" t="s">
        <x:v>399</x:v>
      </x:c>
    </x:row>
    <x:row r="19" ht="54" customHeight="1">
      <x:c r="A19" s="35" t="s">
        <x:v>16</x:v>
      </x:c>
      <x:c r="B19" s="35" t="s">
        <x:v>400</x:v>
      </x:c>
      <x:c r="C19" s="35" t="s">
        <x:v>353</x:v>
      </x:c>
      <x:c r="D19" s="35" t="s">
        <x:v>401</x:v>
      </x:c>
      <x:c r="E19" s="35" t="s">
        <x:v>402</x:v>
      </x:c>
      <x:c r="F19" s="35" t="s">
        <x:v>403</x:v>
      </x:c>
      <x:c r="G19" s="35" t="s">
        <x:v>404</x:v>
      </x:c>
    </x:row>
    <x:row r="20" ht="54" customHeight="1">
      <x:c r="A20" s="11" t="s">
        <x:v>16</x:v>
      </x:c>
      <x:c r="B20" s="35" t="s">
        <x:v>405</x:v>
      </x:c>
      <x:c r="C20" s="11" t="s">
        <x:v>353</x:v>
      </x:c>
      <x:c r="D20" s="35" t="s">
        <x:v>406</x:v>
      </x:c>
      <x:c r="E20" s="35" t="s">
        <x:v>407</x:v>
      </x:c>
      <x:c r="F20" s="35" t="s">
        <x:v>408</x:v>
      </x:c>
      <x:c r="G20" s="35" t="s">
        <x:v>409</x:v>
      </x:c>
    </x:row>
    <x:row r="21" ht="30" customHeight="1">
      <x:c r="A21" s="11" t="s">
        <x:v>16</x:v>
      </x:c>
      <x:c r="B21" s="35" t="s">
        <x:v>367</x:v>
      </x:c>
      <x:c r="C21" s="35" t="s">
        <x:v>368</x:v>
      </x:c>
      <x:c r="D21" s="35" t="s">
        <x:v>369</x:v>
      </x:c>
      <x:c r="E21" s="35" t="s">
        <x:v>370</x:v>
      </x:c>
      <x:c r="F21" s="35" t="s">
        <x:v>371</x:v>
      </x:c>
      <x:c r="G21" s="35" t="s">
        <x:v>372</x:v>
      </x:c>
    </x:row>
    <x:row r="22" ht="54" customHeight="1">
      <x:c r="A22" s="11" t="s">
        <x:v>16</x:v>
      </x:c>
      <x:c r="B22" s="35" t="s">
        <x:v>410</x:v>
      </x:c>
      <x:c r="C22" s="35" t="s">
        <x:v>368</x:v>
      </x:c>
      <x:c r="D22" s="35" t="s">
        <x:v>369</x:v>
      </x:c>
      <x:c r="E22" s="35" t="s">
        <x:v>411</x:v>
      </x:c>
      <x:c r="F22" s="35" t="s">
        <x:v>371</x:v>
      </x:c>
      <x:c r="G22" s="35" t="s">
        <x:v>412</x:v>
      </x:c>
    </x:row>
    <x:row r="23" ht="54" customHeight="1">
      <x:c r="A23" s="11" t="s">
        <x:v>16</x:v>
      </x:c>
      <x:c r="B23" s="35" t="s">
        <x:v>413</x:v>
      </x:c>
      <x:c r="C23" s="11" t="s">
        <x:v>368</x:v>
      </x:c>
      <x:c r="D23" s="11" t="s">
        <x:v>369</x:v>
      </x:c>
      <x:c r="E23" s="35" t="s">
        <x:v>414</x:v>
      </x:c>
      <x:c r="F23" s="11" t="s">
        <x:v>371</x:v>
      </x:c>
      <x:c r="G23" s="35" t="s">
        <x:v>415</x:v>
      </x:c>
    </x:row>
    <x:row r="24" ht="54" customHeight="1">
      <x:c r="A24" s="11" t="s">
        <x:v>16</x:v>
      </x:c>
      <x:c r="B24" s="35" t="s">
        <x:v>416</x:v>
      </x:c>
      <x:c r="C24" s="11" t="s">
        <x:v>368</x:v>
      </x:c>
      <x:c r="D24" s="35" t="s">
        <x:v>369</x:v>
      </x:c>
      <x:c r="E24" s="35" t="s">
        <x:v>417</x:v>
      </x:c>
      <x:c r="F24" s="35" t="s">
        <x:v>371</x:v>
      </x:c>
      <x:c r="G24" s="35" t="s">
        <x:v>415</x:v>
      </x:c>
    </x:row>
    <x:row r="25" ht="54" customHeight="1">
      <x:c r="A25" s="11" t="s">
        <x:v>16</x:v>
      </x:c>
      <x:c r="B25" s="35" t="s">
        <x:v>418</x:v>
      </x:c>
      <x:c r="C25" s="11" t="s">
        <x:v>368</x:v>
      </x:c>
      <x:c r="D25" s="11" t="s">
        <x:v>369</x:v>
      </x:c>
      <x:c r="E25" s="35" t="s">
        <x:v>419</x:v>
      </x:c>
      <x:c r="F25" s="11" t="s">
        <x:v>371</x:v>
      </x:c>
      <x:c r="G25" s="11" t="s">
        <x:v>415</x:v>
      </x:c>
    </x:row>
    <x:row r="26" ht="54" customHeight="1">
      <x:c r="A26" s="11" t="s">
        <x:v>16</x:v>
      </x:c>
      <x:c r="B26" s="35" t="s">
        <x:v>420</x:v>
      </x:c>
      <x:c r="C26" s="11" t="s">
        <x:v>368</x:v>
      </x:c>
      <x:c r="D26" s="11" t="s">
        <x:v>369</x:v>
      </x:c>
      <x:c r="E26" s="35" t="s">
        <x:v>421</x:v>
      </x:c>
      <x:c r="F26" s="11" t="s">
        <x:v>371</x:v>
      </x:c>
      <x:c r="G26" s="11" t="s">
        <x:v>415</x:v>
      </x:c>
    </x:row>
    <x:row r="27" ht="54" customHeight="1">
      <x:c r="A27" s="11" t="s">
        <x:v>16</x:v>
      </x:c>
      <x:c r="B27" s="35" t="s">
        <x:v>422</x:v>
      </x:c>
      <x:c r="C27" s="11" t="s">
        <x:v>368</x:v>
      </x:c>
      <x:c r="D27" s="11" t="s">
        <x:v>369</x:v>
      </x:c>
      <x:c r="E27" s="35" t="s">
        <x:v>423</x:v>
      </x:c>
      <x:c r="F27" s="11" t="s">
        <x:v>371</x:v>
      </x:c>
      <x:c r="G27" s="11" t="s">
        <x:v>415</x:v>
      </x:c>
    </x:row>
    <x:row r="28" ht="54" customHeight="1">
      <x:c r="A28" s="11" t="s">
        <x:v>16</x:v>
      </x:c>
      <x:c r="B28" s="35" t="s">
        <x:v>424</x:v>
      </x:c>
      <x:c r="C28" s="11" t="s">
        <x:v>368</x:v>
      </x:c>
      <x:c r="D28" s="11" t="s">
        <x:v>369</x:v>
      </x:c>
      <x:c r="E28" s="35" t="s">
        <x:v>425</x:v>
      </x:c>
      <x:c r="F28" s="11" t="s">
        <x:v>371</x:v>
      </x:c>
      <x:c r="G28" s="35" t="s">
        <x:v>426</x:v>
      </x:c>
    </x:row>
    <x:row r="29" ht="54" customHeight="1">
      <x:c r="A29" s="11" t="s">
        <x:v>16</x:v>
      </x:c>
      <x:c r="B29" s="35" t="s">
        <x:v>427</x:v>
      </x:c>
      <x:c r="C29" s="11" t="s">
        <x:v>368</x:v>
      </x:c>
      <x:c r="D29" s="11" t="s">
        <x:v>369</x:v>
      </x:c>
      <x:c r="E29" s="35" t="s">
        <x:v>428</x:v>
      </x:c>
      <x:c r="F29" s="11" t="s">
        <x:v>371</x:v>
      </x:c>
      <x:c r="G29" s="35" t="s">
        <x:v>426</x:v>
      </x:c>
    </x:row>
    <x:row r="30" ht="78" customHeight="1">
      <x:c r="A30" s="35" t="s">
        <x:v>21</x:v>
      </x:c>
      <x:c r="B30" s="35" t="s">
        <x:v>429</x:v>
      </x:c>
      <x:c r="C30" s="35" t="s">
        <x:v>353</x:v>
      </x:c>
      <x:c r="D30" s="35" t="s">
        <x:v>430</x:v>
      </x:c>
      <x:c r="E30" s="35" t="s">
        <x:v>431</x:v>
      </x:c>
      <x:c r="F30" s="35" t="s">
        <x:v>432</x:v>
      </x:c>
      <x:c r="G30" s="35" t="s">
        <x:v>433</x:v>
      </x:c>
    </x:row>
    <x:row r="31" ht="54" customHeight="1">
      <x:c r="A31" s="35" t="s">
        <x:v>21</x:v>
      </x:c>
      <x:c r="B31" s="35" t="s">
        <x:v>434</x:v>
      </x:c>
      <x:c r="C31" s="35" t="s">
        <x:v>353</x:v>
      </x:c>
      <x:c r="D31" s="35" t="s">
        <x:v>435</x:v>
      </x:c>
      <x:c r="E31" s="35" t="s">
        <x:v>436</x:v>
      </x:c>
      <x:c r="F31" s="35" t="s">
        <x:v>437</x:v>
      </x:c>
      <x:c r="G31" s="35" t="s">
        <x:v>438</x:v>
      </x:c>
    </x:row>
    <x:row r="32" ht="66" customHeight="1">
      <x:c r="A32" s="11" t="s">
        <x:v>21</x:v>
      </x:c>
      <x:c r="B32" s="35" t="s">
        <x:v>439</x:v>
      </x:c>
      <x:c r="C32" s="11" t="s">
        <x:v>353</x:v>
      </x:c>
      <x:c r="D32" s="35" t="s">
        <x:v>440</x:v>
      </x:c>
      <x:c r="E32" s="35" t="s">
        <x:v>441</x:v>
      </x:c>
      <x:c r="F32" s="35" t="s">
        <x:v>442</x:v>
      </x:c>
      <x:c r="G32" s="35" t="s">
        <x:v>443</x:v>
      </x:c>
    </x:row>
    <x:row r="33" ht="42" customHeight="1">
      <x:c r="A33" s="11" t="s">
        <x:v>21</x:v>
      </x:c>
      <x:c r="B33" s="35" t="s">
        <x:v>367</x:v>
      </x:c>
      <x:c r="C33" s="35" t="s">
        <x:v>368</x:v>
      </x:c>
      <x:c r="D33" s="35" t="s">
        <x:v>369</x:v>
      </x:c>
      <x:c r="E33" s="35" t="s">
        <x:v>370</x:v>
      </x:c>
      <x:c r="F33" s="35" t="s">
        <x:v>371</x:v>
      </x:c>
      <x:c r="G33" s="35" t="s">
        <x:v>444</x:v>
      </x:c>
    </x:row>
    <x:row r="34" ht="42" customHeight="1">
      <x:c r="A34" s="11" t="s">
        <x:v>21</x:v>
      </x:c>
      <x:c r="B34" s="35" t="s">
        <x:v>376</x:v>
      </x:c>
      <x:c r="C34" s="35" t="s">
        <x:v>368</x:v>
      </x:c>
      <x:c r="D34" s="35" t="s">
        <x:v>369</x:v>
      </x:c>
      <x:c r="E34" s="35" t="s">
        <x:v>445</x:v>
      </x:c>
      <x:c r="F34" s="35" t="s">
        <x:v>371</x:v>
      </x:c>
      <x:c r="G34" s="35" t="s">
        <x:v>446</x:v>
      </x:c>
    </x:row>
    <x:row r="35" ht="42" customHeight="1">
      <x:c r="A35" s="11" t="s">
        <x:v>21</x:v>
      </x:c>
      <x:c r="B35" s="35" t="s">
        <x:v>447</x:v>
      </x:c>
      <x:c r="C35" s="11" t="s">
        <x:v>368</x:v>
      </x:c>
      <x:c r="D35" s="11" t="s">
        <x:v>369</x:v>
      </x:c>
      <x:c r="E35" s="35" t="s">
        <x:v>445</x:v>
      </x:c>
      <x:c r="F35" s="11" t="s">
        <x:v>371</x:v>
      </x:c>
      <x:c r="G35" s="35" t="s">
        <x:v>448</x:v>
      </x:c>
    </x:row>
    <x:row r="36" ht="42" customHeight="1">
      <x:c r="A36" s="11" t="s">
        <x:v>21</x:v>
      </x:c>
      <x:c r="B36" s="35" t="s">
        <x:v>449</x:v>
      </x:c>
      <x:c r="C36" s="11" t="s">
        <x:v>368</x:v>
      </x:c>
      <x:c r="D36" s="11" t="s">
        <x:v>369</x:v>
      </x:c>
      <x:c r="E36" s="35" t="s">
        <x:v>450</x:v>
      </x:c>
      <x:c r="F36" s="11" t="s">
        <x:v>371</x:v>
      </x:c>
      <x:c r="G36" s="35" t="s">
        <x:v>451</x:v>
      </x:c>
    </x:row>
    <x:row r="37" ht="42" customHeight="1">
      <x:c r="A37" s="11" t="s">
        <x:v>21</x:v>
      </x:c>
      <x:c r="B37" s="35" t="s">
        <x:v>452</x:v>
      </x:c>
      <x:c r="C37" s="11" t="s">
        <x:v>368</x:v>
      </x:c>
      <x:c r="D37" s="11" t="s">
        <x:v>369</x:v>
      </x:c>
      <x:c r="E37" s="35" t="s">
        <x:v>453</x:v>
      </x:c>
      <x:c r="F37" s="11" t="s">
        <x:v>371</x:v>
      </x:c>
      <x:c r="G37" s="35" t="s">
        <x:v>451</x:v>
      </x:c>
    </x:row>
    <x:row r="38" ht="42" customHeight="1">
      <x:c r="A38" s="11" t="s">
        <x:v>21</x:v>
      </x:c>
      <x:c r="B38" s="35" t="s">
        <x:v>454</x:v>
      </x:c>
      <x:c r="C38" s="11" t="s">
        <x:v>368</x:v>
      </x:c>
      <x:c r="D38" s="11" t="s">
        <x:v>369</x:v>
      </x:c>
      <x:c r="E38" s="35" t="s">
        <x:v>455</x:v>
      </x:c>
      <x:c r="F38" s="11" t="s">
        <x:v>371</x:v>
      </x:c>
      <x:c r="G38" s="35" t="s">
        <x:v>451</x:v>
      </x:c>
    </x:row>
    <x:row r="39" ht="54" customHeight="1">
      <x:c r="A39" s="11" t="s">
        <x:v>21</x:v>
      </x:c>
      <x:c r="B39" s="35" t="s">
        <x:v>416</x:v>
      </x:c>
      <x:c r="C39" s="11" t="s">
        <x:v>368</x:v>
      </x:c>
      <x:c r="D39" s="11" t="s">
        <x:v>369</x:v>
      </x:c>
      <x:c r="E39" s="35" t="s">
        <x:v>456</x:v>
      </x:c>
      <x:c r="F39" s="11" t="s">
        <x:v>371</x:v>
      </x:c>
      <x:c r="G39" s="35" t="s">
        <x:v>457</x:v>
      </x:c>
    </x:row>
    <x:row r="40" ht="54" customHeight="1">
      <x:c r="A40" s="11" t="s">
        <x:v>21</x:v>
      </x:c>
      <x:c r="B40" s="35" t="s">
        <x:v>458</x:v>
      </x:c>
      <x:c r="C40" s="11" t="s">
        <x:v>368</x:v>
      </x:c>
      <x:c r="D40" s="11" t="s">
        <x:v>369</x:v>
      </x:c>
      <x:c r="E40" s="35" t="s">
        <x:v>459</x:v>
      </x:c>
      <x:c r="F40" s="11" t="s">
        <x:v>371</x:v>
      </x:c>
      <x:c r="G40" s="11" t="s">
        <x:v>457</x:v>
      </x:c>
    </x:row>
    <x:row r="41" ht="54" customHeight="1">
      <x:c r="A41" s="11" t="s">
        <x:v>21</x:v>
      </x:c>
      <x:c r="B41" s="35" t="s">
        <x:v>460</x:v>
      </x:c>
      <x:c r="C41" s="11" t="s">
        <x:v>368</x:v>
      </x:c>
      <x:c r="D41" s="11" t="s">
        <x:v>369</x:v>
      </x:c>
      <x:c r="E41" s="35" t="s">
        <x:v>461</x:v>
      </x:c>
      <x:c r="F41" s="11" t="s">
        <x:v>371</x:v>
      </x:c>
      <x:c r="G41" s="11" t="s">
        <x:v>457</x:v>
      </x:c>
    </x:row>
    <x:row r="42" ht="54" customHeight="1">
      <x:c r="A42" s="11" t="s">
        <x:v>21</x:v>
      </x:c>
      <x:c r="B42" s="35" t="s">
        <x:v>418</x:v>
      </x:c>
      <x:c r="C42" s="11" t="s">
        <x:v>368</x:v>
      </x:c>
      <x:c r="D42" s="11" t="s">
        <x:v>369</x:v>
      </x:c>
      <x:c r="E42" s="35" t="s">
        <x:v>462</x:v>
      </x:c>
      <x:c r="F42" s="11" t="s">
        <x:v>371</x:v>
      </x:c>
      <x:c r="G42" s="11" t="s">
        <x:v>457</x:v>
      </x:c>
    </x:row>
    <x:row r="43" ht="54" customHeight="1">
      <x:c r="A43" s="11" t="s">
        <x:v>21</x:v>
      </x:c>
      <x:c r="B43" s="35" t="s">
        <x:v>463</x:v>
      </x:c>
      <x:c r="C43" s="11" t="s">
        <x:v>368</x:v>
      </x:c>
      <x:c r="D43" s="11" t="s">
        <x:v>369</x:v>
      </x:c>
      <x:c r="E43" s="35" t="s">
        <x:v>464</x:v>
      </x:c>
      <x:c r="F43" s="11" t="s">
        <x:v>371</x:v>
      </x:c>
      <x:c r="G43" s="35" t="s">
        <x:v>465</x:v>
      </x:c>
    </x:row>
    <x:row r="44" ht="54" customHeight="1">
      <x:c r="A44" s="11" t="s">
        <x:v>21</x:v>
      </x:c>
      <x:c r="B44" s="35" t="s">
        <x:v>466</x:v>
      </x:c>
      <x:c r="C44" s="11" t="s">
        <x:v>368</x:v>
      </x:c>
      <x:c r="D44" s="11" t="s">
        <x:v>369</x:v>
      </x:c>
      <x:c r="E44" s="35" t="s">
        <x:v>467</x:v>
      </x:c>
      <x:c r="F44" s="11" t="s">
        <x:v>371</x:v>
      </x:c>
      <x:c r="G44" s="11" t="s">
        <x:v>465</x:v>
      </x:c>
    </x:row>
    <x:row r="45" ht="54" customHeight="1">
      <x:c r="A45" s="11" t="s">
        <x:v>21</x:v>
      </x:c>
      <x:c r="B45" s="35" t="s">
        <x:v>468</x:v>
      </x:c>
      <x:c r="C45" s="11" t="s">
        <x:v>368</x:v>
      </x:c>
      <x:c r="D45" s="11" t="s">
        <x:v>369</x:v>
      </x:c>
      <x:c r="E45" s="35" t="s">
        <x:v>469</x:v>
      </x:c>
      <x:c r="F45" s="11" t="s">
        <x:v>371</x:v>
      </x:c>
      <x:c r="G45" s="11" t="s">
        <x:v>465</x:v>
      </x:c>
    </x:row>
    <x:row r="46" ht="54" customHeight="1">
      <x:c r="A46" s="11" t="s">
        <x:v>21</x:v>
      </x:c>
      <x:c r="B46" s="35" t="s">
        <x:v>470</x:v>
      </x:c>
      <x:c r="C46" s="11" t="s">
        <x:v>368</x:v>
      </x:c>
      <x:c r="D46" s="11" t="s">
        <x:v>369</x:v>
      </x:c>
      <x:c r="E46" s="35" t="s">
        <x:v>471</x:v>
      </x:c>
      <x:c r="F46" s="11" t="s">
        <x:v>371</x:v>
      </x:c>
      <x:c r="G46" s="11" t="s">
        <x:v>465</x:v>
      </x:c>
    </x:row>
    <x:row r="47" ht="54" customHeight="1">
      <x:c r="A47" s="11" t="s">
        <x:v>21</x:v>
      </x:c>
      <x:c r="B47" s="35" t="s">
        <x:v>472</x:v>
      </x:c>
      <x:c r="C47" s="11" t="s">
        <x:v>368</x:v>
      </x:c>
      <x:c r="D47" s="11" t="s">
        <x:v>369</x:v>
      </x:c>
      <x:c r="E47" s="35" t="s">
        <x:v>473</x:v>
      </x:c>
      <x:c r="F47" s="11" t="s">
        <x:v>371</x:v>
      </x:c>
      <x:c r="G47" s="35" t="s">
        <x:v>474</x:v>
      </x:c>
    </x:row>
    <x:row r="48" ht="54" customHeight="1">
      <x:c r="A48" s="35" t="s">
        <x:v>26</x:v>
      </x:c>
      <x:c r="B48" s="35" t="s">
        <x:v>475</x:v>
      </x:c>
      <x:c r="C48" s="35" t="s">
        <x:v>353</x:v>
      </x:c>
      <x:c r="D48" s="35" t="s">
        <x:v>476</x:v>
      </x:c>
      <x:c r="E48" s="35" t="s">
        <x:v>477</x:v>
      </x:c>
      <x:c r="F48" s="35" t="s">
        <x:v>478</x:v>
      </x:c>
      <x:c r="G48" s="35" t="s">
        <x:v>479</x:v>
      </x:c>
    </x:row>
    <x:row r="49" ht="54" customHeight="1">
      <x:c r="A49" s="35" t="s">
        <x:v>26</x:v>
      </x:c>
      <x:c r="B49" s="35" t="s">
        <x:v>480</x:v>
      </x:c>
      <x:c r="C49" s="35" t="s">
        <x:v>353</x:v>
      </x:c>
      <x:c r="D49" s="35" t="s">
        <x:v>481</x:v>
      </x:c>
      <x:c r="E49" s="35" t="s">
        <x:v>482</x:v>
      </x:c>
      <x:c r="F49" s="35" t="s">
        <x:v>483</x:v>
      </x:c>
      <x:c r="G49" s="35" t="s">
        <x:v>484</x:v>
      </x:c>
    </x:row>
    <x:row r="50" ht="54" customHeight="1">
      <x:c r="A50" s="35" t="s">
        <x:v>26</x:v>
      </x:c>
      <x:c r="B50" s="35" t="s">
        <x:v>485</x:v>
      </x:c>
      <x:c r="C50" s="35" t="s">
        <x:v>353</x:v>
      </x:c>
      <x:c r="D50" s="35" t="s">
        <x:v>486</x:v>
      </x:c>
      <x:c r="E50" s="35" t="s">
        <x:v>487</x:v>
      </x:c>
      <x:c r="F50" s="35" t="s">
        <x:v>488</x:v>
      </x:c>
      <x:c r="G50" s="35" t="s">
        <x:v>489</x:v>
      </x:c>
    </x:row>
    <x:row r="51" ht="30" customHeight="1">
      <x:c r="A51" s="35" t="s">
        <x:v>26</x:v>
      </x:c>
      <x:c r="B51" s="35" t="s">
        <x:v>367</x:v>
      </x:c>
      <x:c r="C51" s="11" t="s">
        <x:v>368</x:v>
      </x:c>
      <x:c r="D51" s="11" t="s">
        <x:v>369</x:v>
      </x:c>
      <x:c r="E51" s="35" t="s">
        <x:v>370</x:v>
      </x:c>
      <x:c r="F51" s="11" t="s">
        <x:v>371</x:v>
      </x:c>
      <x:c r="G51" s="35" t="s">
        <x:v>490</x:v>
      </x:c>
    </x:row>
    <x:row r="52" ht="42" customHeight="1">
      <x:c r="A52" s="11" t="s">
        <x:v>26</x:v>
      </x:c>
      <x:c r="B52" s="35" t="s">
        <x:v>491</x:v>
      </x:c>
      <x:c r="C52" s="35" t="s">
        <x:v>368</x:v>
      </x:c>
      <x:c r="D52" s="35" t="s">
        <x:v>369</x:v>
      </x:c>
      <x:c r="E52" s="35" t="s">
        <x:v>492</x:v>
      </x:c>
      <x:c r="F52" s="35" t="s">
        <x:v>371</x:v>
      </x:c>
      <x:c r="G52" s="35" t="s">
        <x:v>493</x:v>
      </x:c>
    </x:row>
    <x:row r="53" ht="54" customHeight="1">
      <x:c r="A53" s="11" t="s">
        <x:v>26</x:v>
      </x:c>
      <x:c r="B53" s="35" t="s">
        <x:v>494</x:v>
      </x:c>
      <x:c r="C53" s="35" t="s">
        <x:v>368</x:v>
      </x:c>
      <x:c r="D53" s="35" t="s">
        <x:v>369</x:v>
      </x:c>
      <x:c r="E53" s="35" t="s">
        <x:v>495</x:v>
      </x:c>
      <x:c r="F53" s="35" t="s">
        <x:v>371</x:v>
      </x:c>
      <x:c r="G53" s="35" t="s">
        <x:v>496</x:v>
      </x:c>
    </x:row>
    <x:row r="54" ht="54" customHeight="1">
      <x:c r="A54" s="11" t="s">
        <x:v>26</x:v>
      </x:c>
      <x:c r="B54" s="35" t="s">
        <x:v>497</x:v>
      </x:c>
      <x:c r="C54" s="35" t="s">
        <x:v>368</x:v>
      </x:c>
      <x:c r="D54" s="35" t="s">
        <x:v>369</x:v>
      </x:c>
      <x:c r="E54" s="35" t="s">
        <x:v>498</x:v>
      </x:c>
      <x:c r="F54" s="35" t="s">
        <x:v>371</x:v>
      </x:c>
      <x:c r="G54" s="35" t="s">
        <x:v>496</x:v>
      </x:c>
    </x:row>
    <x:row r="55" ht="42" customHeight="1">
      <x:c r="A55" s="11" t="s">
        <x:v>26</x:v>
      </x:c>
      <x:c r="B55" s="35" t="s">
        <x:v>499</x:v>
      </x:c>
      <x:c r="C55" s="11" t="s">
        <x:v>368</x:v>
      </x:c>
      <x:c r="D55" s="11" t="s">
        <x:v>369</x:v>
      </x:c>
      <x:c r="E55" s="35" t="s">
        <x:v>500</x:v>
      </x:c>
      <x:c r="F55" s="11" t="s">
        <x:v>371</x:v>
      </x:c>
      <x:c r="G55" s="35" t="s">
        <x:v>501</x:v>
      </x:c>
    </x:row>
    <x:row r="56" ht="42" customHeight="1">
      <x:c r="A56" s="11" t="s">
        <x:v>26</x:v>
      </x:c>
      <x:c r="B56" s="35" t="s">
        <x:v>502</x:v>
      </x:c>
      <x:c r="C56" s="11" t="s">
        <x:v>368</x:v>
      </x:c>
      <x:c r="D56" s="11" t="s">
        <x:v>369</x:v>
      </x:c>
      <x:c r="E56" s="35" t="s">
        <x:v>503</x:v>
      </x:c>
      <x:c r="F56" s="11" t="s">
        <x:v>371</x:v>
      </x:c>
      <x:c r="G56" s="35" t="s">
        <x:v>504</x:v>
      </x:c>
    </x:row>
    <x:row r="57" ht="42" customHeight="1">
      <x:c r="A57" s="11" t="s">
        <x:v>26</x:v>
      </x:c>
      <x:c r="B57" s="35" t="s">
        <x:v>505</x:v>
      </x:c>
      <x:c r="C57" s="11" t="s">
        <x:v>368</x:v>
      </x:c>
      <x:c r="D57" s="11" t="s">
        <x:v>369</x:v>
      </x:c>
      <x:c r="E57" s="35" t="s">
        <x:v>506</x:v>
      </x:c>
      <x:c r="F57" s="11" t="s">
        <x:v>371</x:v>
      </x:c>
      <x:c r="G57" s="35" t="s">
        <x:v>507</x:v>
      </x:c>
    </x:row>
    <x:row r="58" ht="30" customHeight="1">
      <x:c r="A58" s="11" t="s">
        <x:v>26</x:v>
      </x:c>
      <x:c r="B58" s="35" t="s">
        <x:v>508</x:v>
      </x:c>
      <x:c r="C58" s="11" t="s">
        <x:v>368</x:v>
      </x:c>
      <x:c r="D58" s="11" t="s">
        <x:v>369</x:v>
      </x:c>
      <x:c r="E58" s="35" t="s">
        <x:v>509</x:v>
      </x:c>
      <x:c r="F58" s="11" t="s">
        <x:v>371</x:v>
      </x:c>
      <x:c r="G58" s="35" t="s">
        <x:v>510</x:v>
      </x:c>
    </x:row>
    <x:row r="59" ht="54" customHeight="1">
      <x:c r="A59" s="11" t="s">
        <x:v>26</x:v>
      </x:c>
      <x:c r="B59" s="35" t="s">
        <x:v>416</x:v>
      </x:c>
      <x:c r="C59" s="11" t="s">
        <x:v>368</x:v>
      </x:c>
      <x:c r="D59" s="11" t="s">
        <x:v>369</x:v>
      </x:c>
      <x:c r="E59" s="35" t="s">
        <x:v>511</x:v>
      </x:c>
      <x:c r="F59" s="11" t="s">
        <x:v>371</x:v>
      </x:c>
      <x:c r="G59" s="35" t="s">
        <x:v>512</x:v>
      </x:c>
    </x:row>
    <x:row r="60" ht="54" customHeight="1">
      <x:c r="A60" s="11" t="s">
        <x:v>26</x:v>
      </x:c>
      <x:c r="B60" s="35" t="s">
        <x:v>513</x:v>
      </x:c>
      <x:c r="C60" s="11" t="s">
        <x:v>368</x:v>
      </x:c>
      <x:c r="D60" s="11" t="s">
        <x:v>369</x:v>
      </x:c>
      <x:c r="E60" s="35" t="s">
        <x:v>514</x:v>
      </x:c>
      <x:c r="F60" s="11" t="s">
        <x:v>371</x:v>
      </x:c>
      <x:c r="G60" s="35" t="s">
        <x:v>515</x:v>
      </x:c>
    </x:row>
    <x:row r="61" ht="54" customHeight="1">
      <x:c r="A61" s="11" t="s">
        <x:v>26</x:v>
      </x:c>
      <x:c r="B61" s="35" t="s">
        <x:v>516</x:v>
      </x:c>
      <x:c r="C61" s="11" t="s">
        <x:v>368</x:v>
      </x:c>
      <x:c r="D61" s="11" t="s">
        <x:v>369</x:v>
      </x:c>
      <x:c r="E61" s="35" t="s">
        <x:v>517</x:v>
      </x:c>
      <x:c r="F61" s="11" t="s">
        <x:v>371</x:v>
      </x:c>
      <x:c r="G61" s="35" t="s">
        <x:v>515</x:v>
      </x:c>
    </x:row>
    <x:row r="62" ht="54" customHeight="1">
      <x:c r="A62" s="11" t="s">
        <x:v>26</x:v>
      </x:c>
      <x:c r="B62" s="35" t="s">
        <x:v>518</x:v>
      </x:c>
      <x:c r="C62" s="11" t="s">
        <x:v>368</x:v>
      </x:c>
      <x:c r="D62" s="11" t="s">
        <x:v>369</x:v>
      </x:c>
      <x:c r="E62" s="35" t="s">
        <x:v>519</x:v>
      </x:c>
      <x:c r="F62" s="11" t="s">
        <x:v>371</x:v>
      </x:c>
      <x:c r="G62" s="35" t="s">
        <x:v>520</x:v>
      </x:c>
    </x:row>
    <x:row r="63" ht="78" customHeight="1">
      <x:c r="A63" s="35" t="s">
        <x:v>521</x:v>
      </x:c>
      <x:c r="B63" s="35" t="s">
        <x:v>429</x:v>
      </x:c>
      <x:c r="C63" s="35" t="s">
        <x:v>353</x:v>
      </x:c>
      <x:c r="D63" s="35" t="s">
        <x:v>430</x:v>
      </x:c>
      <x:c r="E63" s="35" t="s">
        <x:v>522</x:v>
      </x:c>
      <x:c r="F63" s="35" t="s">
        <x:v>523</x:v>
      </x:c>
      <x:c r="G63" s="35" t="s">
        <x:v>524</x:v>
      </x:c>
    </x:row>
    <x:row r="64" ht="54" customHeight="1">
      <x:c r="A64" s="35" t="s">
        <x:v>521</x:v>
      </x:c>
      <x:c r="B64" s="35" t="s">
        <x:v>434</x:v>
      </x:c>
      <x:c r="C64" s="35" t="s">
        <x:v>353</x:v>
      </x:c>
      <x:c r="D64" s="35" t="s">
        <x:v>435</x:v>
      </x:c>
      <x:c r="E64" s="35" t="s">
        <x:v>525</x:v>
      </x:c>
      <x:c r="F64" s="35" t="s">
        <x:v>526</x:v>
      </x:c>
      <x:c r="G64" s="35" t="s">
        <x:v>527</x:v>
      </x:c>
    </x:row>
    <x:row r="65" ht="66" customHeight="1">
      <x:c r="A65" s="35" t="s">
        <x:v>521</x:v>
      </x:c>
      <x:c r="B65" s="35" t="s">
        <x:v>439</x:v>
      </x:c>
      <x:c r="C65" s="35" t="s">
        <x:v>353</x:v>
      </x:c>
      <x:c r="D65" s="35" t="s">
        <x:v>440</x:v>
      </x:c>
      <x:c r="E65" s="35" t="s">
        <x:v>528</x:v>
      </x:c>
      <x:c r="F65" s="35" t="s">
        <x:v>529</x:v>
      </x:c>
      <x:c r="G65" s="35" t="s">
        <x:v>530</x:v>
      </x:c>
    </x:row>
    <x:row r="66" ht="42" customHeight="1">
      <x:c r="A66" s="35" t="s">
        <x:v>521</x:v>
      </x:c>
      <x:c r="B66" s="35" t="s">
        <x:v>367</x:v>
      </x:c>
      <x:c r="C66" s="11" t="s">
        <x:v>368</x:v>
      </x:c>
      <x:c r="D66" s="11" t="s">
        <x:v>369</x:v>
      </x:c>
      <x:c r="E66" s="35" t="s">
        <x:v>370</x:v>
      </x:c>
      <x:c r="F66" s="11" t="s">
        <x:v>371</x:v>
      </x:c>
      <x:c r="G66" s="35" t="s">
        <x:v>531</x:v>
      </x:c>
    </x:row>
    <x:row r="67" ht="30" customHeight="1">
      <x:c r="A67" s="35" t="s">
        <x:v>521</x:v>
      </x:c>
      <x:c r="B67" s="35" t="s">
        <x:v>373</x:v>
      </x:c>
      <x:c r="C67" s="35" t="s">
        <x:v>368</x:v>
      </x:c>
      <x:c r="D67" s="35" t="s">
        <x:v>369</x:v>
      </x:c>
      <x:c r="E67" s="35" t="s">
        <x:v>532</x:v>
      </x:c>
      <x:c r="F67" s="35" t="s">
        <x:v>371</x:v>
      </x:c>
      <x:c r="G67" s="35" t="s">
        <x:v>533</x:v>
      </x:c>
    </x:row>
    <x:row r="68" ht="54" customHeight="1">
      <x:c r="A68" s="35" t="s">
        <x:v>521</x:v>
      </x:c>
      <x:c r="B68" s="35" t="s">
        <x:v>380</x:v>
      </x:c>
      <x:c r="C68" s="35" t="s">
        <x:v>368</x:v>
      </x:c>
      <x:c r="D68" s="35" t="s">
        <x:v>369</x:v>
      </x:c>
      <x:c r="E68" s="35" t="s">
        <x:v>534</x:v>
      </x:c>
      <x:c r="F68" s="35" t="s">
        <x:v>371</x:v>
      </x:c>
      <x:c r="G68" s="35" t="s">
        <x:v>535</x:v>
      </x:c>
    </x:row>
    <x:row r="69" ht="42" customHeight="1">
      <x:c r="A69" s="35" t="s">
        <x:v>521</x:v>
      </x:c>
      <x:c r="B69" s="35" t="s">
        <x:v>491</x:v>
      </x:c>
      <x:c r="C69" s="35" t="s">
        <x:v>368</x:v>
      </x:c>
      <x:c r="D69" s="35" t="s">
        <x:v>369</x:v>
      </x:c>
      <x:c r="E69" s="35" t="s">
        <x:v>536</x:v>
      </x:c>
      <x:c r="F69" s="35" t="s">
        <x:v>371</x:v>
      </x:c>
      <x:c r="G69" s="35" t="s">
        <x:v>537</x:v>
      </x:c>
    </x:row>
    <x:row r="70" ht="42" customHeight="1">
      <x:c r="A70" s="35" t="s">
        <x:v>521</x:v>
      </x:c>
      <x:c r="B70" s="35" t="s">
        <x:v>538</x:v>
      </x:c>
      <x:c r="C70" s="11" t="s">
        <x:v>368</x:v>
      </x:c>
      <x:c r="D70" s="11" t="s">
        <x:v>369</x:v>
      </x:c>
      <x:c r="E70" s="35" t="s">
        <x:v>539</x:v>
      </x:c>
      <x:c r="F70" s="11" t="s">
        <x:v>371</x:v>
      </x:c>
      <x:c r="G70" s="35" t="s">
        <x:v>540</x:v>
      </x:c>
    </x:row>
    <x:row r="71" ht="42" customHeight="1">
      <x:c r="A71" s="35" t="s">
        <x:v>521</x:v>
      </x:c>
      <x:c r="B71" s="35" t="s">
        <x:v>541</x:v>
      </x:c>
      <x:c r="C71" s="11" t="s">
        <x:v>368</x:v>
      </x:c>
      <x:c r="D71" s="11" t="s">
        <x:v>369</x:v>
      </x:c>
      <x:c r="E71" s="35" t="s">
        <x:v>542</x:v>
      </x:c>
      <x:c r="F71" s="11" t="s">
        <x:v>371</x:v>
      </x:c>
      <x:c r="G71" s="35" t="s">
        <x:v>543</x:v>
      </x:c>
    </x:row>
    <x:row r="72" ht="54" customHeight="1">
      <x:c r="A72" s="35" t="s">
        <x:v>521</x:v>
      </x:c>
      <x:c r="B72" s="35" t="s">
        <x:v>382</x:v>
      </x:c>
      <x:c r="C72" s="11" t="s">
        <x:v>368</x:v>
      </x:c>
      <x:c r="D72" s="11" t="s">
        <x:v>369</x:v>
      </x:c>
      <x:c r="E72" s="35" t="s">
        <x:v>544</x:v>
      </x:c>
      <x:c r="F72" s="11" t="s">
        <x:v>371</x:v>
      </x:c>
      <x:c r="G72" s="35" t="s">
        <x:v>545</x:v>
      </x:c>
    </x:row>
    <x:row r="73" ht="54" customHeight="1">
      <x:c r="A73" s="35" t="s">
        <x:v>521</x:v>
      </x:c>
      <x:c r="B73" s="35" t="s">
        <x:v>378</x:v>
      </x:c>
      <x:c r="C73" s="11" t="s">
        <x:v>368</x:v>
      </x:c>
      <x:c r="D73" s="11" t="s">
        <x:v>369</x:v>
      </x:c>
      <x:c r="E73" s="35" t="s">
        <x:v>546</x:v>
      </x:c>
      <x:c r="F73" s="11" t="s">
        <x:v>371</x:v>
      </x:c>
      <x:c r="G73" s="35" t="s">
        <x:v>545</x:v>
      </x:c>
    </x:row>
    <x:row r="74" ht="42" customHeight="1">
      <x:c r="A74" s="35" t="s">
        <x:v>521</x:v>
      </x:c>
      <x:c r="B74" s="35" t="s">
        <x:v>547</x:v>
      </x:c>
      <x:c r="C74" s="11" t="s">
        <x:v>368</x:v>
      </x:c>
      <x:c r="D74" s="11" t="s">
        <x:v>369</x:v>
      </x:c>
      <x:c r="E74" s="35" t="s">
        <x:v>548</x:v>
      </x:c>
      <x:c r="F74" s="11" t="s">
        <x:v>371</x:v>
      </x:c>
      <x:c r="G74" s="35" t="s">
        <x:v>549</x:v>
      </x:c>
    </x:row>
    <x:row r="75" ht="42" customHeight="1">
      <x:c r="A75" s="35" t="s">
        <x:v>521</x:v>
      </x:c>
      <x:c r="B75" s="35" t="s">
        <x:v>550</x:v>
      </x:c>
      <x:c r="C75" s="11" t="s">
        <x:v>368</x:v>
      </x:c>
      <x:c r="D75" s="11" t="s">
        <x:v>369</x:v>
      </x:c>
      <x:c r="E75" s="35" t="s">
        <x:v>551</x:v>
      </x:c>
      <x:c r="F75" s="11" t="s">
        <x:v>371</x:v>
      </x:c>
      <x:c r="G75" s="35" t="s">
        <x:v>549</x:v>
      </x:c>
    </x:row>
    <x:row r="76" ht="42" customHeight="1">
      <x:c r="A76" s="35" t="s">
        <x:v>521</x:v>
      </x:c>
      <x:c r="B76" s="35" t="s">
        <x:v>552</x:v>
      </x:c>
      <x:c r="C76" s="11" t="s">
        <x:v>368</x:v>
      </x:c>
      <x:c r="D76" s="11" t="s">
        <x:v>369</x:v>
      </x:c>
      <x:c r="E76" s="35" t="s">
        <x:v>553</x:v>
      </x:c>
      <x:c r="F76" s="11" t="s">
        <x:v>371</x:v>
      </x:c>
      <x:c r="G76" s="35" t="s">
        <x:v>549</x:v>
      </x:c>
    </x:row>
    <x:row r="77" ht="42" customHeight="1">
      <x:c r="A77" s="35" t="s">
        <x:v>521</x:v>
      </x:c>
      <x:c r="B77" s="35" t="s">
        <x:v>554</x:v>
      </x:c>
      <x:c r="C77" s="11" t="s">
        <x:v>368</x:v>
      </x:c>
      <x:c r="D77" s="11" t="s">
        <x:v>369</x:v>
      </x:c>
      <x:c r="E77" s="35" t="s">
        <x:v>555</x:v>
      </x:c>
      <x:c r="F77" s="11" t="s">
        <x:v>371</x:v>
      </x:c>
      <x:c r="G77" s="35" t="s">
        <x:v>549</x:v>
      </x:c>
    </x:row>
    <x:row r="78" ht="54" customHeight="1">
      <x:c r="A78" s="35" t="s">
        <x:v>521</x:v>
      </x:c>
      <x:c r="B78" s="35" t="s">
        <x:v>556</x:v>
      </x:c>
      <x:c r="C78" s="11" t="s">
        <x:v>368</x:v>
      </x:c>
      <x:c r="D78" s="11" t="s">
        <x:v>369</x:v>
      </x:c>
      <x:c r="E78" s="35" t="s">
        <x:v>557</x:v>
      </x:c>
      <x:c r="F78" s="11" t="s">
        <x:v>371</x:v>
      </x:c>
      <x:c r="G78" s="35" t="s">
        <x:v>474</x:v>
      </x:c>
    </x:row>
    <x:row r="79" ht="54" customHeight="1">
      <x:c r="A79" s="35" t="s">
        <x:v>56</x:v>
      </x:c>
      <x:c r="B79" s="35" t="s">
        <x:v>558</x:v>
      </x:c>
      <x:c r="C79" s="11" t="s">
        <x:v>353</x:v>
      </x:c>
      <x:c r="D79" s="35" t="s">
        <x:v>559</x:v>
      </x:c>
      <x:c r="E79" s="35" t="s">
        <x:v>560</x:v>
      </x:c>
      <x:c r="F79" s="35" t="s">
        <x:v>561</x:v>
      </x:c>
      <x:c r="G79" s="35" t="s">
        <x:v>562</x:v>
      </x:c>
    </x:row>
    <x:row r="80" ht="42" customHeight="1">
      <x:c r="A80" s="35" t="s">
        <x:v>56</x:v>
      </x:c>
      <x:c r="B80" s="35" t="s">
        <x:v>563</x:v>
      </x:c>
      <x:c r="C80" s="11" t="s">
        <x:v>353</x:v>
      </x:c>
      <x:c r="D80" s="35" t="s">
        <x:v>564</x:v>
      </x:c>
      <x:c r="E80" s="35" t="s">
        <x:v>565</x:v>
      </x:c>
      <x:c r="F80" s="35" t="s">
        <x:v>566</x:v>
      </x:c>
      <x:c r="G80" s="35" t="s">
        <x:v>567</x:v>
      </x:c>
    </x:row>
    <x:row r="81" ht="54" customHeight="1">
      <x:c r="A81" s="35" t="s">
        <x:v>56</x:v>
      </x:c>
      <x:c r="B81" s="35" t="s">
        <x:v>568</x:v>
      </x:c>
      <x:c r="C81" s="35" t="s">
        <x:v>368</x:v>
      </x:c>
      <x:c r="D81" s="35" t="s">
        <x:v>369</x:v>
      </x:c>
      <x:c r="E81" s="35" t="s">
        <x:v>370</x:v>
      </x:c>
      <x:c r="F81" s="35" t="s">
        <x:v>371</x:v>
      </x:c>
      <x:c r="G81" s="35" t="s">
        <x:v>569</x:v>
      </x:c>
    </x:row>
    <x:row r="82" ht="42" customHeight="1">
      <x:c r="A82" s="35" t="s">
        <x:v>56</x:v>
      </x:c>
      <x:c r="B82" s="35" t="s">
        <x:v>373</x:v>
      </x:c>
      <x:c r="C82" s="11" t="s">
        <x:v>368</x:v>
      </x:c>
      <x:c r="D82" s="11" t="s">
        <x:v>369</x:v>
      </x:c>
      <x:c r="E82" s="35" t="s">
        <x:v>570</x:v>
      </x:c>
      <x:c r="F82" s="11" t="s">
        <x:v>371</x:v>
      </x:c>
      <x:c r="G82" s="35" t="s">
        <x:v>571</x:v>
      </x:c>
    </x:row>
    <x:row r="83" ht="30" customHeight="1">
      <x:c r="A83" s="35" t="s">
        <x:v>56</x:v>
      </x:c>
      <x:c r="B83" s="35" t="s">
        <x:v>491</x:v>
      </x:c>
      <x:c r="C83" s="11" t="s">
        <x:v>368</x:v>
      </x:c>
      <x:c r="D83" s="11" t="s">
        <x:v>369</x:v>
      </x:c>
      <x:c r="E83" s="35" t="s">
        <x:v>536</x:v>
      </x:c>
      <x:c r="F83" s="11" t="s">
        <x:v>371</x:v>
      </x:c>
      <x:c r="G83" s="35" t="s">
        <x:v>572</x:v>
      </x:c>
    </x:row>
    <x:row r="84" ht="30" customHeight="1">
      <x:c r="A84" s="35" t="s">
        <x:v>56</x:v>
      </x:c>
      <x:c r="B84" s="35" t="s">
        <x:v>538</x:v>
      </x:c>
      <x:c r="C84" s="11" t="s">
        <x:v>368</x:v>
      </x:c>
      <x:c r="D84" s="11" t="s">
        <x:v>369</x:v>
      </x:c>
      <x:c r="E84" s="35" t="s">
        <x:v>573</x:v>
      </x:c>
      <x:c r="F84" s="11" t="s">
        <x:v>371</x:v>
      </x:c>
      <x:c r="G84" s="35" t="s">
        <x:v>574</x:v>
      </x:c>
    </x:row>
    <x:row r="85" ht="30" customHeight="1">
      <x:c r="A85" s="35" t="s">
        <x:v>56</x:v>
      </x:c>
      <x:c r="B85" s="35" t="s">
        <x:v>541</x:v>
      </x:c>
      <x:c r="C85" s="11" t="s">
        <x:v>368</x:v>
      </x:c>
      <x:c r="D85" s="11" t="s">
        <x:v>369</x:v>
      </x:c>
      <x:c r="E85" s="35" t="s">
        <x:v>575</x:v>
      </x:c>
      <x:c r="F85" s="11" t="s">
        <x:v>371</x:v>
      </x:c>
      <x:c r="G85" s="35" t="s">
        <x:v>576</x:v>
      </x:c>
    </x:row>
    <x:row r="86" ht="42" customHeight="1">
      <x:c r="A86" s="35" t="s">
        <x:v>56</x:v>
      </x:c>
      <x:c r="B86" s="35" t="s">
        <x:v>382</x:v>
      </x:c>
      <x:c r="C86" s="11" t="s">
        <x:v>368</x:v>
      </x:c>
      <x:c r="D86" s="11" t="s">
        <x:v>369</x:v>
      </x:c>
      <x:c r="E86" s="35" t="s">
        <x:v>577</x:v>
      </x:c>
      <x:c r="F86" s="11" t="s">
        <x:v>371</x:v>
      </x:c>
      <x:c r="G86" s="35" t="s">
        <x:v>571</x:v>
      </x:c>
    </x:row>
    <x:row r="87" ht="42" customHeight="1">
      <x:c r="A87" s="35" t="s">
        <x:v>56</x:v>
      </x:c>
      <x:c r="B87" s="35" t="s">
        <x:v>378</x:v>
      </x:c>
      <x:c r="C87" s="11" t="s">
        <x:v>368</x:v>
      </x:c>
      <x:c r="D87" s="11" t="s">
        <x:v>369</x:v>
      </x:c>
      <x:c r="E87" s="35" t="s">
        <x:v>578</x:v>
      </x:c>
      <x:c r="F87" s="11" t="s">
        <x:v>371</x:v>
      </x:c>
      <x:c r="G87" s="35" t="s">
        <x:v>571</x:v>
      </x:c>
    </x:row>
    <x:row r="88" ht="42" customHeight="1">
      <x:c r="A88" s="35" t="s">
        <x:v>56</x:v>
      </x:c>
      <x:c r="B88" s="35" t="s">
        <x:v>579</x:v>
      </x:c>
      <x:c r="C88" s="11" t="s">
        <x:v>368</x:v>
      </x:c>
      <x:c r="D88" s="11" t="s">
        <x:v>369</x:v>
      </x:c>
      <x:c r="E88" s="35" t="s">
        <x:v>580</x:v>
      </x:c>
      <x:c r="F88" s="11" t="s">
        <x:v>371</x:v>
      </x:c>
      <x:c r="G88" s="35" t="s">
        <x:v>581</x:v>
      </x:c>
    </x:row>
    <x:row r="89" ht="42" customHeight="1">
      <x:c r="A89" s="35" t="s">
        <x:v>56</x:v>
      </x:c>
      <x:c r="B89" s="35" t="s">
        <x:v>387</x:v>
      </x:c>
      <x:c r="C89" s="11" t="s">
        <x:v>368</x:v>
      </x:c>
      <x:c r="D89" s="11" t="s">
        <x:v>369</x:v>
      </x:c>
      <x:c r="E89" s="35" t="s">
        <x:v>582</x:v>
      </x:c>
      <x:c r="F89" s="11" t="s">
        <x:v>371</x:v>
      </x:c>
      <x:c r="G89" s="35" t="s">
        <x:v>581</x:v>
      </x:c>
    </x:row>
    <x:row r="90" ht="42" customHeight="1">
      <x:c r="A90" s="35" t="s">
        <x:v>56</x:v>
      </x:c>
      <x:c r="B90" s="35" t="s">
        <x:v>550</x:v>
      </x:c>
      <x:c r="C90" s="11" t="s">
        <x:v>368</x:v>
      </x:c>
      <x:c r="D90" s="11" t="s">
        <x:v>369</x:v>
      </x:c>
      <x:c r="E90" s="35" t="s">
        <x:v>583</x:v>
      </x:c>
      <x:c r="F90" s="11" t="s">
        <x:v>371</x:v>
      </x:c>
      <x:c r="G90" s="35" t="s">
        <x:v>581</x:v>
      </x:c>
    </x:row>
    <x:row r="91" ht="42" customHeight="1">
      <x:c r="A91" s="35" t="s">
        <x:v>56</x:v>
      </x:c>
      <x:c r="B91" s="35" t="s">
        <x:v>380</x:v>
      </x:c>
      <x:c r="C91" s="11" t="s">
        <x:v>368</x:v>
      </x:c>
      <x:c r="D91" s="11" t="s">
        <x:v>369</x:v>
      </x:c>
      <x:c r="E91" s="35" t="s">
        <x:v>584</x:v>
      </x:c>
      <x:c r="F91" s="11" t="s">
        <x:v>371</x:v>
      </x:c>
      <x:c r="G91" s="35" t="s">
        <x:v>585</x:v>
      </x:c>
    </x:row>
    <x:row r="92" ht="54" customHeight="1">
      <x:c r="A92" s="35" t="s">
        <x:v>56</x:v>
      </x:c>
      <x:c r="B92" s="35" t="s">
        <x:v>556</x:v>
      </x:c>
      <x:c r="C92" s="11" t="s">
        <x:v>368</x:v>
      </x:c>
      <x:c r="D92" s="11" t="s">
        <x:v>369</x:v>
      </x:c>
      <x:c r="E92" s="35" t="s">
        <x:v>586</x:v>
      </x:c>
      <x:c r="F92" s="11" t="s">
        <x:v>371</x:v>
      </x:c>
      <x:c r="G92" s="35" t="s">
        <x:v>474</x:v>
      </x:c>
    </x:row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G1"/>
    <x:mergeCell ref="A2:G2"/>
    <x:mergeCell ref="A3:G3"/>
  </x:mergeCells>
  <x:dataValidations count="1">
    <x:dataValidation type="list" allowBlank="1" sqref="C5:C92">
      <x:formula1>"диапазон,набор"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0" customWidth="1"/>
    <x:col min="2" max="2" width="42" customWidth="1"/>
    <x:col min="3" max="3" width="48" customWidth="1"/>
    <x:col min="4" max="4" width="16" customWidth="1"/>
    <x:col min="5" max="5" width="38" customWidth="1"/>
    <x:col min="6" max="6" width="8.630000114440918" customWidth="1"/>
  </x:cols>
  <x:sheetData>
    <x:row r="1" ht="27" customHeight="1">
      <x:c r="A1" s="1" t="s">
        <x:v>587</x:v>
      </x:c>
    </x:row>
    <x:row r="2" ht="36" customHeight="1">
      <x:c r="A2" s="5"/>
      <x:c r="B2" s="3"/>
      <x:c r="C2" s="3"/>
      <x:c r="D2" s="3"/>
      <x:c r="E2" s="4"/>
    </x:row>
    <x:row r="3" ht="52.5" customHeight="1">
      <x:c r="A3" s="25" t="s">
        <x:v>588</x:v>
      </x:c>
      <x:c r="B3" s="31" t="s">
        <x:v>589</x:v>
      </x:c>
      <x:c r="C3" s="3"/>
      <x:c r="D3" s="3"/>
      <x:c r="E3" s="4"/>
    </x:row>
    <x:row r="4">
      <x:c r="A4" s="8"/>
      <x:c r="B4" s="8"/>
      <x:c r="C4" s="8"/>
      <x:c r="D4" s="8"/>
      <x:c r="E4" s="8"/>
    </x:row>
    <x:row r="5">
      <x:c r="A5" s="6" t="s">
        <x:v>156</x:v>
      </x:c>
      <x:c r="B5" s="6" t="s">
        <x:v>590</x:v>
      </x:c>
      <x:c r="C5" s="6" t="s">
        <x:v>262</x:v>
      </x:c>
      <x:c r="D5" s="6" t="s">
        <x:v>591</x:v>
      </x:c>
      <x:c r="E5" s="6" t="s">
        <x:v>592</x:v>
      </x:c>
    </x:row>
    <x:row r="6">
      <x:c r="A6" s="12" t="s">
        <x:v>593</x:v>
      </x:c>
      <x:c r="B6" s="12" t="s">
        <x:v>594</x:v>
      </x:c>
      <x:c r="C6" s="12" t="s">
        <x:v>595</x:v>
      </x:c>
      <x:c r="D6" s="11" t="s">
        <x:v>162</x:v>
      </x:c>
      <x:c r="E6" s="12"/>
    </x:row>
    <x:row r="7">
      <x:c r="A7" s="12" t="s">
        <x:v>596</x:v>
      </x:c>
      <x:c r="B7" s="12" t="s">
        <x:v>597</x:v>
      </x:c>
      <x:c r="C7" s="12" t="s">
        <x:v>598</x:v>
      </x:c>
      <x:c r="D7" s="11" t="s">
        <x:v>162</x:v>
      </x:c>
      <x:c r="E7" s="12"/>
    </x:row>
    <x:row r="8">
      <x:c r="A8" s="12" t="s">
        <x:v>599</x:v>
      </x:c>
      <x:c r="B8" s="12" t="s">
        <x:v>600</x:v>
      </x:c>
      <x:c r="C8" s="12" t="s">
        <x:v>601</x:v>
      </x:c>
      <x:c r="D8" s="11" t="s">
        <x:v>162</x:v>
      </x:c>
      <x:c r="E8" s="12"/>
    </x:row>
    <x:row r="9">
      <x:c r="A9" s="12" t="s">
        <x:v>602</x:v>
      </x:c>
      <x:c r="B9" s="12" t="s">
        <x:v>330</x:v>
      </x:c>
      <x:c r="C9" s="12" t="s">
        <x:v>603</x:v>
      </x:c>
      <x:c r="D9" s="11" t="s">
        <x:v>164</x:v>
      </x:c>
      <x:c r="E9" s="32" t="s">
        <x:v>329</x:v>
      </x:c>
    </x:row>
    <x:row r="10">
      <x:c r="A10" s="12" t="s">
        <x:v>604</x:v>
      </x:c>
      <x:c r="B10" s="12" t="s">
        <x:v>605</x:v>
      </x:c>
      <x:c r="C10" s="12" t="s">
        <x:v>606</x:v>
      </x:c>
      <x:c r="D10" s="11" t="s">
        <x:v>162</x:v>
      </x:c>
      <x:c r="E10" s="12"/>
    </x:row>
    <x:row r="11">
      <x:c r="A11" s="12" t="s">
        <x:v>607</x:v>
      </x:c>
      <x:c r="B11" s="12" t="s">
        <x:v>608</x:v>
      </x:c>
      <x:c r="C11" s="12" t="s">
        <x:v>609</x:v>
      </x:c>
      <x:c r="D11" s="11" t="s">
        <x:v>162</x:v>
      </x:c>
      <x:c r="E11" s="12"/>
    </x:row>
    <x:row r="12">
      <x:c r="A12" s="12" t="s">
        <x:v>610</x:v>
      </x:c>
      <x:c r="B12" s="12" t="s">
        <x:v>611</x:v>
      </x:c>
      <x:c r="C12" s="12" t="s">
        <x:v>612</x:v>
      </x:c>
      <x:c r="D12" s="11" t="s">
        <x:v>162</x:v>
      </x:c>
      <x:c r="E12" s="12"/>
    </x:row>
    <x:row r="13">
      <x:c r="A13" s="12" t="s">
        <x:v>613</x:v>
      </x:c>
      <x:c r="B13" s="12" t="s">
        <x:v>614</x:v>
      </x:c>
      <x:c r="C13" s="12" t="s">
        <x:v>615</x:v>
      </x:c>
      <x:c r="D13" s="11" t="s">
        <x:v>162</x:v>
      </x:c>
      <x:c r="E13" s="12"/>
    </x:row>
    <x:row r="14">
      <x:c r="A14" s="12" t="s">
        <x:v>616</x:v>
      </x:c>
      <x:c r="B14" s="12" t="s">
        <x:v>617</x:v>
      </x:c>
      <x:c r="C14" s="12" t="s">
        <x:v>618</x:v>
      </x:c>
      <x:c r="D14" s="11" t="s">
        <x:v>162</x:v>
      </x:c>
      <x:c r="E14" s="12"/>
    </x:row>
    <x:row r="15">
      <x:c r="A15" s="8"/>
      <x:c r="B15" s="8"/>
      <x:c r="C15" s="8"/>
      <x:c r="D15" s="8"/>
      <x:c r="E15" s="8"/>
    </x:row>
    <x:row r="16">
      <x:c r="A16" s="8"/>
      <x:c r="B16" s="8"/>
      <x:c r="C16" s="8"/>
      <x:c r="D16" s="8"/>
      <x:c r="E16" s="8"/>
    </x:row>
    <x:row r="17">
      <x:c r="A17" s="8"/>
      <x:c r="B17" s="8"/>
      <x:c r="C17" s="8"/>
      <x:c r="D17" s="8"/>
      <x:c r="E17" s="8"/>
    </x:row>
    <x:row r="18">
      <x:c r="A18" s="8"/>
      <x:c r="B18" s="8"/>
      <x:c r="C18" s="8"/>
      <x:c r="D18" s="8"/>
      <x:c r="E18" s="8"/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mergeCells>
    <x:mergeCell ref="A1:E1"/>
    <x:mergeCell ref="A2:E2"/>
    <x:mergeCell ref="B3:E3"/>
  </x:mergeCells>
  <x:conditionalFormatting sqref="D6:D14">
    <x:cfRule type="containsBlanks" dxfId="7" priority="1">
      <x:formula>LEN(TRIM(D6))=0</x:formula>
    </x:cfRule>
  </x:conditionalFormatting>
  <x:conditionalFormatting sqref="D6:D14">
    <x:cfRule type="containsText" dxfId="8" priority="2" operator="containsText" text="Passed">
      <x:formula>NOT(ISERROR(SEARCH(("Passed"),(D6))))</x:formula>
    </x:cfRule>
  </x:conditionalFormatting>
  <x:conditionalFormatting sqref="D6:D14">
    <x:cfRule type="containsText" dxfId="2" priority="3" operator="containsText" text="Failed">
      <x:formula>NOT(ISERROR(SEARCH(("Failed"),(D6))))</x:formula>
    </x:cfRule>
  </x:conditionalFormatting>
  <x:conditionalFormatting sqref="D6:D14">
    <x:cfRule type="containsText" dxfId="9" priority="4" operator="containsText" text="Blocked">
      <x:formula>NOT(ISERROR(SEARCH(("Blocked"),(D6))))</x:formula>
    </x:cfRule>
  </x:conditionalFormatting>
  <x:conditionalFormatting sqref="D6:D14">
    <x:cfRule type="containsText" dxfId="10" priority="5" operator="containsText" text="Skipped">
      <x:formula>NOT(ISERROR(SEARCH(("Skipped"),(D6))))</x:formula>
    </x:cfRule>
  </x:conditionalFormatting>
  <x:conditionalFormatting sqref="E6:E14">
    <x:cfRule type="expression" dxfId="2" priority="6">
      <x:formula>AND(OR($D6="Failed",$D6="Blocked"),$E6="")</x:formula>
    </x:cfRule>
  </x:conditionalFormatting>
  <x:dataValidations count="1">
    <x:dataValidation type="list" allowBlank="1" sqref="D6:D14">
      <x:formula1>"Passed,Failed,Blocked,Skipped"</x:formula1>
    </x:dataValidation>
  </x:dataValidations>
  <x:hyperlinks>
    <x:hyperlink xmlns:r="http://schemas.openxmlformats.org/officeDocument/2006/relationships" ref="B3" r:id="R85c2d53deb3e497f"/>
    <x:hyperlink ref="E9" location="'Баг-репорты'!A15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2.630000114440918" defaultRowHeight="15"/>
  <x:cols>
    <x:col min="1" max="1" width="34" customWidth="1"/>
    <x:col min="2" max="2" width="24" customWidth="1"/>
    <x:col min="3" max="3" width="38" customWidth="1"/>
    <x:col min="4" max="5" width="32" customWidth="1"/>
    <x:col min="6" max="6" width="8.630000114440918" customWidth="1"/>
  </x:cols>
  <x:sheetData>
    <x:row r="1" ht="27" customHeight="1">
      <x:c r="A1" s="24" t="s">
        <x:v>619</x:v>
      </x:c>
    </x:row>
    <x:row r="2" ht="40.5" customHeight="1">
      <x:c r="A2" s="26"/>
      <x:c r="B2" s="3"/>
      <x:c r="C2" s="3"/>
      <x:c r="D2" s="3"/>
      <x:c r="E2" s="4"/>
      <x:c r="F2" s="27"/>
    </x:row>
    <x:row r="3">
      <x:c r="A3" s="8"/>
      <x:c r="B3" s="8"/>
      <x:c r="C3" s="8"/>
      <x:c r="D3" s="8"/>
      <x:c r="E3" s="8"/>
    </x:row>
    <x:row r="4" ht="21" customHeight="1">
      <x:c r="A4" s="28" t="s">
        <x:v>620</x:v>
      </x:c>
    </x:row>
    <x:row r="5">
      <x:c r="A5" s="29" t="s">
        <x:v>621</x:v>
      </x:c>
      <x:c r="B5" s="30">
        <x:v>46320.0</x:v>
      </x:c>
      <x:c r="C5" s="8"/>
      <x:c r="D5" s="8"/>
      <x:c r="E5" s="8"/>
    </x:row>
    <x:row r="6">
      <x:c r="A6" s="29" t="s">
        <x:v>622</x:v>
      </x:c>
      <x:c r="B6" s="11" t="s">
        <x:v>623</x:v>
      </x:c>
      <x:c r="C6" s="8"/>
      <x:c r="D6" s="8"/>
      <x:c r="E6" s="8"/>
    </x:row>
    <x:row r="7">
      <x:c r="A7" s="29" t="s">
        <x:v>624</x:v>
      </x:c>
      <x:c r="B7" s="12" t="n">
        <x:f>SUM(B8:B9)</x:f>
        <x:v>98</x:v>
      </x:c>
      <x:c r="C7" s="8"/>
      <x:c r="D7" s="8"/>
      <x:c r="E7" s="8"/>
    </x:row>
    <x:row r="8">
      <x:c r="A8" s="29" t="s">
        <x:v>162</x:v>
      </x:c>
      <x:c r="B8" s="12" t="n">
        <x:f>COUNTIF('Чек-лист'!E5:G81,"Passed")</x:f>
        <x:v>64</x:v>
      </x:c>
      <x:c r="C8" s="8"/>
      <x:c r="D8" s="8"/>
      <x:c r="E8" s="8"/>
    </x:row>
    <x:row r="9">
      <x:c r="A9" s="29" t="s">
        <x:v>164</x:v>
      </x:c>
      <x:c r="B9" s="12" t="n">
        <x:f>COUNTIF('Чек-лист'!E5:G81,"Failed")</x:f>
        <x:v>34</x:v>
      </x:c>
      <x:c r="C9" s="8"/>
      <x:c r="D9" s="8"/>
      <x:c r="E9" s="8"/>
    </x:row>
    <x:row r="10">
      <x:c r="A10" s="29" t="s">
        <x:v>625</x:v>
      </x:c>
      <x:c r="B10" s="12" t="n">
        <x:f>COUNTIF('Чек-лист'!E5:G81,"Blocked")</x:f>
        <x:v>8</x:v>
      </x:c>
      <x:c r="C10" s="8"/>
      <x:c r="D10" s="8"/>
      <x:c r="E10" s="8"/>
    </x:row>
    <x:row r="11">
      <x:c r="A11" s="29" t="s">
        <x:v>626</x:v>
      </x:c>
      <x:c r="B11" s="12" t="n">
        <x:f>COUNTIF('Чек-лист'!E5:G81,"Skipped")</x:f>
        <x:v>49</x:v>
      </x:c>
      <x:c r="C11" s="8"/>
      <x:c r="D11" s="8"/>
      <x:c r="E11" s="8"/>
    </x:row>
    <x:row r="12" ht="48" customHeight="1">
      <x:c r="A12" s="29" t="s">
        <x:v>627</x:v>
      </x:c>
      <x:c r="B12" s="37" t="s">
        <x:v>628</x:v>
      </x:c>
      <x:c r="C12" s="3"/>
      <x:c r="D12" s="3"/>
      <x:c r="E12" s="4"/>
    </x:row>
    <x:row r="13">
      <x:c r="A13" s="29" t="s">
        <x:v>629</x:v>
      </x:c>
      <x:c r="B13" s="11" t="n">
        <x:f>COUNTIF('Мобильное тестирование'!D6:D14,"Passed")+COUNTIF('Мобильное тестирование'!D6:D14,"Failed")+COUNTIF('Мобильное тестирование'!D6:D14,"Blocked")</x:f>
        <x:v>9</x:v>
      </x:c>
      <x:c r="C13" s="8"/>
      <x:c r="D13" s="8"/>
      <x:c r="E13" s="8"/>
    </x:row>
    <x:row r="14" ht="120" customHeight="1">
      <x:c r="A14" s="29" t="s">
        <x:v>630</x:v>
      </x:c>
      <x:c r="B14" s="37" t="s">
        <x:v>631</x:v>
      </x:c>
      <x:c r="C14" s="3"/>
      <x:c r="D14" s="3"/>
      <x:c r="E14" s="4"/>
    </x:row>
    <x:row r="15">
      <x:c r="A15" s="8"/>
      <x:c r="B15" s="8"/>
      <x:c r="C15" s="8"/>
      <x:c r="D15" s="8"/>
      <x:c r="E15" s="8"/>
    </x:row>
    <x:row r="16" ht="15.75" customHeight="1">
      <x:c r="A16" s="8"/>
      <x:c r="B16" s="8"/>
      <x:c r="C16" s="8"/>
      <x:c r="D16" s="8"/>
      <x:c r="E16" s="8"/>
    </x:row>
    <x:row r="17" ht="15.75" customHeight="1">
      <x:c r="A17" s="8"/>
      <x:c r="B17" s="8"/>
      <x:c r="C17" s="8"/>
      <x:c r="D17" s="8"/>
      <x:c r="E17" s="8"/>
    </x:row>
    <x:row r="18" ht="15.75" customHeight="1">
      <x:c r="A18" s="8"/>
      <x:c r="B18" s="8"/>
      <x:c r="C18" s="8"/>
      <x:c r="D18" s="8"/>
      <x:c r="E18" s="8"/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</x:sheetData>
  <x:mergeCells>
    <x:mergeCell ref="A1:E1"/>
    <x:mergeCell ref="A2:E2"/>
    <x:mergeCell ref="A4:E4"/>
    <x:mergeCell ref="B12:E12"/>
    <x:mergeCell ref="B14:E14"/>
  </x:mergeCells>
  <x:pageMargins left="0.7" right="0.7" top="0.75" bottom="0.75" header="0.3" footer="0.3"/>
</x:worksheet>
</file>